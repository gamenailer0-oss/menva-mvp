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eekly KPIs" sheetId="2" state="visible" r:id="rId2"/>
    <sheet name="Content log" sheetId="3" state="visible" r:id="rId3"/>
    <sheet name="Pillar summary" sheetId="4" state="visible" r:id="rId4"/>
    <sheet name="CRM" sheetId="5" state="visible" r:id="rId5"/>
    <sheet name="Influencers" sheetId="6" state="visible" r:id="rId6"/>
    <sheet name="Campaigns" sheetId="7" state="visible" r:id="rId7"/>
  </sheets>
  <definedNames>
    <definedName name="_xlnm._FilterDatabase" localSheetId="2" hidden="1">'Content log'!$A$1:$P$73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0.0"/>
  </numFmts>
  <fonts count="6">
    <font>
      <name val="Calibri"/>
      <family val="2"/>
      <color theme="1"/>
      <sz val="11"/>
      <scheme val="minor"/>
    </font>
    <font>
      <name val="Arial"/>
      <b val="1"/>
      <color rgb="00B5371F"/>
      <sz val="14"/>
    </font>
    <font>
      <name val="Arial"/>
    </font>
    <font>
      <name val="Arial"/>
      <b val="1"/>
    </font>
    <font>
      <name val="Arial"/>
      <b val="1"/>
      <color rgb="00FFFFFF"/>
    </font>
    <font>
      <name val="Arial"/>
      <i val="1"/>
      <color rgb="005C5349"/>
    </font>
  </fonts>
  <fills count="4">
    <fill>
      <patternFill/>
    </fill>
    <fill>
      <patternFill patternType="gray125"/>
    </fill>
    <fill>
      <patternFill patternType="solid">
        <fgColor rgb="001A1714"/>
      </patternFill>
    </fill>
    <fill>
      <patternFill patternType="solid">
        <fgColor rgb="00FFF2B3"/>
      </patternFill>
    </fill>
  </fills>
  <borders count="2">
    <border>
      <left/>
      <right/>
      <top/>
      <bottom/>
      <diagonal/>
    </border>
    <border>
      <bottom style="thin">
        <color rgb="00DCD3C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5" fontId="2" fillId="3" borderId="1" pivotButton="0" quotePrefix="0" xfId="0"/>
    <xf numFmtId="0" fontId="2" fillId="3" borderId="1" pivotButton="0" quotePrefix="0" xfId="0"/>
    <xf numFmtId="0" fontId="2" fillId="0" borderId="1" pivotButton="0" quotePrefix="0" xfId="0"/>
    <xf numFmtId="166" fontId="2" fillId="0" borderId="1" pivotButton="0" quotePrefix="0" xfId="0"/>
    <xf numFmtId="9" fontId="2" fillId="0" borderId="1" pivotButton="0" quotePrefix="0" xfId="0"/>
    <xf numFmtId="165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5" fillId="3" borderId="1" pivotButton="0" quotePrefix="0" xfId="0"/>
    <xf numFmtId="165" fontId="5" fillId="3" borderId="1" pivotButton="0" quotePrefix="0" xfId="0"/>
    <xf numFmtId="3" fontId="5" fillId="3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MENVA</author>
  </authors>
  <commentList>
    <comment ref="A1" authorId="0" shapeId="0">
      <text>
        <t>Week 1 is 5 Oct 2026 (the default START_DATE). Change A2 and the rest follow.</t>
      </text>
    </comment>
  </commentList>
</comments>
</file>

<file path=xl/comments/comment2.xml><?xml version="1.0" encoding="utf-8"?>
<comments xmlns="http://schemas.openxmlformats.org/spreadsheetml/2006/main">
  <authors>
    <author>MENVA</author>
  </authors>
  <commentList>
    <comment ref="V1" authorId="0" shapeId="0">
      <text>
        <t>Counts from row 3 down, so the example row in row 2 is not counted.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MENVA marketing tracker</t>
        </is>
      </c>
    </row>
    <row r="2">
      <c r="A2" s="2" t="inlineStr"/>
    </row>
    <row r="3">
      <c r="A3" s="3" t="inlineStr">
        <is>
          <t>Yellow cells are for you to fill in. White cells are filled already or calculated: do not type over formulas.</t>
        </is>
      </c>
    </row>
    <row r="4">
      <c r="A4" s="2" t="inlineStr">
        <is>
          <t>Rows in grey italics are EXAMPLES that show the format. Delete them when you start.</t>
        </is>
      </c>
    </row>
    <row r="5">
      <c r="A5" s="2" t="inlineStr"/>
    </row>
    <row r="6">
      <c r="A6" s="3" t="inlineStr">
        <is>
          <t>Tabs</t>
        </is>
      </c>
    </row>
    <row r="7">
      <c r="A7" s="2" t="inlineStr">
        <is>
          <t>Weekly KPIs: every Monday, copy the week's numbers from Instagram Insights and your DMs/WhatsApp. Rates calculate themselves.</t>
        </is>
      </c>
    </row>
    <row r="8">
      <c r="A8" s="2" t="inlineStr">
        <is>
          <t>Content log: all 72 calendar posts with their dates (default start 5 Oct 2026). About 7 days after each post, enter reach, likes, comments, sends, saves.</t>
        </is>
      </c>
    </row>
    <row r="9">
      <c r="A9" s="2" t="inlineStr">
        <is>
          <t>Pillar summary: which kind of post works best, calculated from the Content log. Every 4 weeks, make more of the top pillars.</t>
        </is>
      </c>
    </row>
    <row r="10">
      <c r="A10" s="2" t="inlineStr">
        <is>
          <t>CRM: every restaurant you contact (columns from social/marketing/sales-kit.md section 8). Status and channel are dropdowns; counts on the right.</t>
        </is>
      </c>
    </row>
    <row r="11">
      <c r="A11" s="2" t="inlineStr">
        <is>
          <t>Influencers: creators you invite (verify follower counts first, see research/influencers.md).</t>
        </is>
      </c>
    </row>
    <row r="12">
      <c r="A12" s="2" t="inlineStr">
        <is>
          <t>Campaigns: the 6 campaigns in social/marketing/campaigns.md, with their KPI; write the kill criterion from that file.</t>
        </is>
      </c>
    </row>
    <row r="13">
      <c r="A13" s="2" t="inlineStr"/>
    </row>
    <row r="14">
      <c r="A14" s="3" t="inlineStr">
        <is>
          <t>Where the numbers come from</t>
        </is>
      </c>
    </row>
    <row r="15">
      <c r="A15" s="2" t="inlineStr">
        <is>
          <t>Instagram app &gt; Professional dashboard &gt; Insights (reach, shares = "sends", saves, profile visits). Pilot numbers: the private /stats page.</t>
        </is>
      </c>
    </row>
    <row r="16">
      <c r="A16" s="2" t="inlineStr">
        <is>
          <t>Sends per 1k reach is the number to watch: Instagram weighs shares above likes (see social/content/plan.md).</t>
        </is>
      </c>
    </row>
    <row r="17">
      <c r="A17" s="2" t="inlineStr">
        <is>
          <t>If the calendar starts on another date, change Content log B2 and Weekly KPIs A2; the other dates follow.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11" customWidth="1" min="5" max="5"/>
    <col width="9" customWidth="1" min="6" max="6"/>
    <col width="10" customWidth="1" min="7" max="7"/>
    <col width="9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1" customWidth="1" min="14" max="14"/>
    <col width="11" customWidth="1" min="15" max="15"/>
    <col width="11" customWidth="1" min="16" max="16"/>
    <col width="40" customWidth="1" min="17" max="17"/>
  </cols>
  <sheetData>
    <row r="1" ht="32" customHeight="1">
      <c r="A1" s="4" t="inlineStr">
        <is>
          <t>Week starting</t>
        </is>
      </c>
      <c r="B1" s="4" t="inlineStr">
        <is>
          <t>Followers (end of week)</t>
        </is>
      </c>
      <c r="C1" s="4" t="inlineStr">
        <is>
          <t>New followers</t>
        </is>
      </c>
      <c r="D1" s="4" t="inlineStr">
        <is>
          <t>Accounts reached</t>
        </is>
      </c>
      <c r="E1" s="4" t="inlineStr">
        <is>
          <t>Sends (shares)</t>
        </is>
      </c>
      <c r="F1" s="4" t="inlineStr">
        <is>
          <t>Saves</t>
        </is>
      </c>
      <c r="G1" s="4" t="inlineStr">
        <is>
          <t>Profile visits</t>
        </is>
      </c>
      <c r="H1" s="4" t="inlineStr">
        <is>
          <t>Link taps</t>
        </is>
      </c>
      <c r="I1" s="4" t="inlineStr">
        <is>
          <t>"PILOT" DMs</t>
        </is>
      </c>
      <c r="J1" s="4" t="inlineStr">
        <is>
          <t>"PILOT" WhatsApps</t>
        </is>
      </c>
      <c r="K1" s="4" t="inlineStr">
        <is>
          <t>Demos booked</t>
        </is>
      </c>
      <c r="L1" s="4" t="inlineStr">
        <is>
          <t>Pilots signed</t>
        </is>
      </c>
      <c r="M1" s="4" t="inlineStr">
        <is>
          <t>Sends per 1k reach</t>
        </is>
      </c>
      <c r="N1" s="4" t="inlineStr">
        <is>
          <t>Saves per 1k reach</t>
        </is>
      </c>
      <c r="O1" s="4" t="inlineStr">
        <is>
          <t>Leads (DM + WhatsApp)</t>
        </is>
      </c>
      <c r="P1" s="4" t="inlineStr">
        <is>
          <t>Lead to demo rate</t>
        </is>
      </c>
      <c r="Q1" s="4" t="inlineStr">
        <is>
          <t>Notes</t>
        </is>
      </c>
    </row>
    <row r="2">
      <c r="A2" s="5" t="n">
        <v>46300</v>
      </c>
      <c r="B2" s="6" t="n"/>
      <c r="C2" s="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8">
        <f>IF(N(D2)=0,"",E2/D2*1000)</f>
        <v/>
      </c>
      <c r="N2" s="8">
        <f>IF(N(D2)=0,"",F2/D2*1000)</f>
        <v/>
      </c>
      <c r="O2" s="7">
        <f>IF(AND(I2="",J2=""),"",N(I2)+N(J2))</f>
        <v/>
      </c>
      <c r="P2" s="9">
        <f>IF(N(O2)=0,"",K2/O2)</f>
        <v/>
      </c>
      <c r="Q2" s="6" t="n"/>
    </row>
    <row r="3">
      <c r="A3" s="10">
        <f>A2+7</f>
        <v/>
      </c>
      <c r="B3" s="6" t="n"/>
      <c r="C3" s="7">
        <f>IF(OR(B3="",B2=""),"",B3-B2)</f>
        <v/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8">
        <f>IF(N(D3)=0,"",E3/D3*1000)</f>
        <v/>
      </c>
      <c r="N3" s="8">
        <f>IF(N(D3)=0,"",F3/D3*1000)</f>
        <v/>
      </c>
      <c r="O3" s="7">
        <f>IF(AND(I3="",J3=""),"",N(I3)+N(J3))</f>
        <v/>
      </c>
      <c r="P3" s="9">
        <f>IF(N(O3)=0,"",K3/O3)</f>
        <v/>
      </c>
      <c r="Q3" s="6" t="n"/>
    </row>
    <row r="4">
      <c r="A4" s="10">
        <f>A3+7</f>
        <v/>
      </c>
      <c r="B4" s="6" t="n"/>
      <c r="C4" s="7">
        <f>IF(OR(B4="",B3=""),"",B4-B3)</f>
        <v/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8">
        <f>IF(N(D4)=0,"",E4/D4*1000)</f>
        <v/>
      </c>
      <c r="N4" s="8">
        <f>IF(N(D4)=0,"",F4/D4*1000)</f>
        <v/>
      </c>
      <c r="O4" s="7">
        <f>IF(AND(I4="",J4=""),"",N(I4)+N(J4))</f>
        <v/>
      </c>
      <c r="P4" s="9">
        <f>IF(N(O4)=0,"",K4/O4)</f>
        <v/>
      </c>
      <c r="Q4" s="6" t="n"/>
    </row>
    <row r="5">
      <c r="A5" s="10">
        <f>A4+7</f>
        <v/>
      </c>
      <c r="B5" s="6" t="n"/>
      <c r="C5" s="7">
        <f>IF(OR(B5="",B4=""),"",B5-B4)</f>
        <v/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8">
        <f>IF(N(D5)=0,"",E5/D5*1000)</f>
        <v/>
      </c>
      <c r="N5" s="8">
        <f>IF(N(D5)=0,"",F5/D5*1000)</f>
        <v/>
      </c>
      <c r="O5" s="7">
        <f>IF(AND(I5="",J5=""),"",N(I5)+N(J5))</f>
        <v/>
      </c>
      <c r="P5" s="9">
        <f>IF(N(O5)=0,"",K5/O5)</f>
        <v/>
      </c>
      <c r="Q5" s="6" t="n"/>
    </row>
    <row r="6">
      <c r="A6" s="10">
        <f>A5+7</f>
        <v/>
      </c>
      <c r="B6" s="6" t="n"/>
      <c r="C6" s="7">
        <f>IF(OR(B6="",B5=""),"",B6-B5)</f>
        <v/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8">
        <f>IF(N(D6)=0,"",E6/D6*1000)</f>
        <v/>
      </c>
      <c r="N6" s="8">
        <f>IF(N(D6)=0,"",F6/D6*1000)</f>
        <v/>
      </c>
      <c r="O6" s="7">
        <f>IF(AND(I6="",J6=""),"",N(I6)+N(J6))</f>
        <v/>
      </c>
      <c r="P6" s="9">
        <f>IF(N(O6)=0,"",K6/O6)</f>
        <v/>
      </c>
      <c r="Q6" s="6" t="n"/>
    </row>
    <row r="7">
      <c r="A7" s="10">
        <f>A6+7</f>
        <v/>
      </c>
      <c r="B7" s="6" t="n"/>
      <c r="C7" s="7">
        <f>IF(OR(B7="",B6=""),"",B7-B6)</f>
        <v/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8">
        <f>IF(N(D7)=0,"",E7/D7*1000)</f>
        <v/>
      </c>
      <c r="N7" s="8">
        <f>IF(N(D7)=0,"",F7/D7*1000)</f>
        <v/>
      </c>
      <c r="O7" s="7">
        <f>IF(AND(I7="",J7=""),"",N(I7)+N(J7))</f>
        <v/>
      </c>
      <c r="P7" s="9">
        <f>IF(N(O7)=0,"",K7/O7)</f>
        <v/>
      </c>
      <c r="Q7" s="6" t="n"/>
    </row>
    <row r="8">
      <c r="A8" s="10">
        <f>A7+7</f>
        <v/>
      </c>
      <c r="B8" s="6" t="n"/>
      <c r="C8" s="7">
        <f>IF(OR(B8="",B7=""),"",B8-B7)</f>
        <v/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8">
        <f>IF(N(D8)=0,"",E8/D8*1000)</f>
        <v/>
      </c>
      <c r="N8" s="8">
        <f>IF(N(D8)=0,"",F8/D8*1000)</f>
        <v/>
      </c>
      <c r="O8" s="7">
        <f>IF(AND(I8="",J8=""),"",N(I8)+N(J8))</f>
        <v/>
      </c>
      <c r="P8" s="9">
        <f>IF(N(O8)=0,"",K8/O8)</f>
        <v/>
      </c>
      <c r="Q8" s="6" t="n"/>
    </row>
    <row r="9">
      <c r="A9" s="10">
        <f>A8+7</f>
        <v/>
      </c>
      <c r="B9" s="6" t="n"/>
      <c r="C9" s="7">
        <f>IF(OR(B9="",B8=""),"",B9-B8)</f>
        <v/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8">
        <f>IF(N(D9)=0,"",E9/D9*1000)</f>
        <v/>
      </c>
      <c r="N9" s="8">
        <f>IF(N(D9)=0,"",F9/D9*1000)</f>
        <v/>
      </c>
      <c r="O9" s="7">
        <f>IF(AND(I9="",J9=""),"",N(I9)+N(J9))</f>
        <v/>
      </c>
      <c r="P9" s="9">
        <f>IF(N(O9)=0,"",K9/O9)</f>
        <v/>
      </c>
      <c r="Q9" s="6" t="n"/>
    </row>
    <row r="10">
      <c r="A10" s="10">
        <f>A9+7</f>
        <v/>
      </c>
      <c r="B10" s="6" t="n"/>
      <c r="C10" s="7">
        <f>IF(OR(B10="",B9=""),"",B10-B9)</f>
        <v/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8">
        <f>IF(N(D10)=0,"",E10/D10*1000)</f>
        <v/>
      </c>
      <c r="N10" s="8">
        <f>IF(N(D10)=0,"",F10/D10*1000)</f>
        <v/>
      </c>
      <c r="O10" s="7">
        <f>IF(AND(I10="",J10=""),"",N(I10)+N(J10))</f>
        <v/>
      </c>
      <c r="P10" s="9">
        <f>IF(N(O10)=0,"",K10/O10)</f>
        <v/>
      </c>
      <c r="Q10" s="6" t="n"/>
    </row>
    <row r="11">
      <c r="A11" s="10">
        <f>A10+7</f>
        <v/>
      </c>
      <c r="B11" s="6" t="n"/>
      <c r="C11" s="7">
        <f>IF(OR(B11="",B10=""),"",B11-B10)</f>
        <v/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8">
        <f>IF(N(D11)=0,"",E11/D11*1000)</f>
        <v/>
      </c>
      <c r="N11" s="8">
        <f>IF(N(D11)=0,"",F11/D11*1000)</f>
        <v/>
      </c>
      <c r="O11" s="7">
        <f>IF(AND(I11="",J11=""),"",N(I11)+N(J11))</f>
        <v/>
      </c>
      <c r="P11" s="9">
        <f>IF(N(O11)=0,"",K11/O11)</f>
        <v/>
      </c>
      <c r="Q11" s="6" t="n"/>
    </row>
    <row r="12">
      <c r="A12" s="10">
        <f>A11+7</f>
        <v/>
      </c>
      <c r="B12" s="6" t="n"/>
      <c r="C12" s="7">
        <f>IF(OR(B12="",B11=""),"",B12-B11)</f>
        <v/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8">
        <f>IF(N(D12)=0,"",E12/D12*1000)</f>
        <v/>
      </c>
      <c r="N12" s="8">
        <f>IF(N(D12)=0,"",F12/D12*1000)</f>
        <v/>
      </c>
      <c r="O12" s="7">
        <f>IF(AND(I12="",J12=""),"",N(I12)+N(J12))</f>
        <v/>
      </c>
      <c r="P12" s="9">
        <f>IF(N(O12)=0,"",K12/O12)</f>
        <v/>
      </c>
      <c r="Q12" s="6" t="n"/>
    </row>
    <row r="13">
      <c r="A13" s="10">
        <f>A12+7</f>
        <v/>
      </c>
      <c r="B13" s="6" t="n"/>
      <c r="C13" s="7">
        <f>IF(OR(B13="",B12=""),"",B13-B12)</f>
        <v/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8">
        <f>IF(N(D13)=0,"",E13/D13*1000)</f>
        <v/>
      </c>
      <c r="N13" s="8">
        <f>IF(N(D13)=0,"",F13/D13*1000)</f>
        <v/>
      </c>
      <c r="O13" s="7">
        <f>IF(AND(I13="",J13=""),"",N(I13)+N(J13))</f>
        <v/>
      </c>
      <c r="P13" s="9">
        <f>IF(N(O13)=0,"",K13/O13)</f>
        <v/>
      </c>
      <c r="Q13" s="6" t="n"/>
    </row>
    <row r="14">
      <c r="A14" s="10">
        <f>A13+7</f>
        <v/>
      </c>
      <c r="B14" s="6" t="n"/>
      <c r="C14" s="7">
        <f>IF(OR(B14="",B13=""),"",B14-B13)</f>
        <v/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8">
        <f>IF(N(D14)=0,"",E14/D14*1000)</f>
        <v/>
      </c>
      <c r="N14" s="8">
        <f>IF(N(D14)=0,"",F14/D14*1000)</f>
        <v/>
      </c>
      <c r="O14" s="7">
        <f>IF(AND(I14="",J14=""),"",N(I14)+N(J14))</f>
        <v/>
      </c>
      <c r="P14" s="9">
        <f>IF(N(O14)=0,"",K14/O14)</f>
        <v/>
      </c>
      <c r="Q14" s="6" t="n"/>
    </row>
    <row r="15">
      <c r="A15" s="10">
        <f>A14+7</f>
        <v/>
      </c>
      <c r="B15" s="6" t="n"/>
      <c r="C15" s="7">
        <f>IF(OR(B15="",B14=""),"",B15-B14)</f>
        <v/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8">
        <f>IF(N(D15)=0,"",E15/D15*1000)</f>
        <v/>
      </c>
      <c r="N15" s="8">
        <f>IF(N(D15)=0,"",F15/D15*1000)</f>
        <v/>
      </c>
      <c r="O15" s="7">
        <f>IF(AND(I15="",J15=""),"",N(I15)+N(J15))</f>
        <v/>
      </c>
      <c r="P15" s="9">
        <f>IF(N(O15)=0,"",K15/O15)</f>
        <v/>
      </c>
      <c r="Q15" s="6" t="n"/>
    </row>
    <row r="16">
      <c r="A16" s="10">
        <f>A15+7</f>
        <v/>
      </c>
      <c r="B16" s="6" t="n"/>
      <c r="C16" s="7">
        <f>IF(OR(B16="",B15=""),"",B16-B15)</f>
        <v/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8">
        <f>IF(N(D16)=0,"",E16/D16*1000)</f>
        <v/>
      </c>
      <c r="N16" s="8">
        <f>IF(N(D16)=0,"",F16/D16*1000)</f>
        <v/>
      </c>
      <c r="O16" s="7">
        <f>IF(AND(I16="",J16=""),"",N(I16)+N(J16))</f>
        <v/>
      </c>
      <c r="P16" s="9">
        <f>IF(N(O16)=0,"",K16/O16)</f>
        <v/>
      </c>
      <c r="Q16" s="6" t="n"/>
    </row>
    <row r="17">
      <c r="A17" s="10">
        <f>A16+7</f>
        <v/>
      </c>
      <c r="B17" s="6" t="n"/>
      <c r="C17" s="7">
        <f>IF(OR(B17="",B16=""),"",B17-B16)</f>
        <v/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8">
        <f>IF(N(D17)=0,"",E17/D17*1000)</f>
        <v/>
      </c>
      <c r="N17" s="8">
        <f>IF(N(D17)=0,"",F17/D17*1000)</f>
        <v/>
      </c>
      <c r="O17" s="7">
        <f>IF(AND(I17="",J17=""),"",N(I17)+N(J17))</f>
        <v/>
      </c>
      <c r="P17" s="9">
        <f>IF(N(O17)=0,"",K17/O17)</f>
        <v/>
      </c>
      <c r="Q17" s="6" t="n"/>
    </row>
    <row r="18">
      <c r="A18" s="10">
        <f>A17+7</f>
        <v/>
      </c>
      <c r="B18" s="6" t="n"/>
      <c r="C18" s="7">
        <f>IF(OR(B18="",B17=""),"",B18-B17)</f>
        <v/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8">
        <f>IF(N(D18)=0,"",E18/D18*1000)</f>
        <v/>
      </c>
      <c r="N18" s="8">
        <f>IF(N(D18)=0,"",F18/D18*1000)</f>
        <v/>
      </c>
      <c r="O18" s="7">
        <f>IF(AND(I18="",J18=""),"",N(I18)+N(J18))</f>
        <v/>
      </c>
      <c r="P18" s="9">
        <f>IF(N(O18)=0,"",K18/O18)</f>
        <v/>
      </c>
      <c r="Q18" s="6" t="n"/>
    </row>
    <row r="19">
      <c r="A19" s="10">
        <f>A18+7</f>
        <v/>
      </c>
      <c r="B19" s="6" t="n"/>
      <c r="C19" s="7">
        <f>IF(OR(B19="",B18=""),"",B19-B18)</f>
        <v/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8">
        <f>IF(N(D19)=0,"",E19/D19*1000)</f>
        <v/>
      </c>
      <c r="N19" s="8">
        <f>IF(N(D19)=0,"",F19/D19*1000)</f>
        <v/>
      </c>
      <c r="O19" s="7">
        <f>IF(AND(I19="",J19=""),"",N(I19)+N(J19))</f>
        <v/>
      </c>
      <c r="P19" s="9">
        <f>IF(N(O19)=0,"",K19/O19)</f>
        <v/>
      </c>
      <c r="Q19" s="6" t="n"/>
    </row>
    <row r="20">
      <c r="A20" s="10">
        <f>A19+7</f>
        <v/>
      </c>
      <c r="B20" s="6" t="n"/>
      <c r="C20" s="7">
        <f>IF(OR(B20="",B19=""),"",B20-B19)</f>
        <v/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8">
        <f>IF(N(D20)=0,"",E20/D20*1000)</f>
        <v/>
      </c>
      <c r="N20" s="8">
        <f>IF(N(D20)=0,"",F20/D20*1000)</f>
        <v/>
      </c>
      <c r="O20" s="7">
        <f>IF(AND(I20="",J20=""),"",N(I20)+N(J20))</f>
        <v/>
      </c>
      <c r="P20" s="9">
        <f>IF(N(O20)=0,"",K20/O20)</f>
        <v/>
      </c>
      <c r="Q20" s="6" t="n"/>
    </row>
    <row r="21">
      <c r="A21" s="10">
        <f>A20+7</f>
        <v/>
      </c>
      <c r="B21" s="6" t="n"/>
      <c r="C21" s="7">
        <f>IF(OR(B21="",B20=""),"",B21-B20)</f>
        <v/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8">
        <f>IF(N(D21)=0,"",E21/D21*1000)</f>
        <v/>
      </c>
      <c r="N21" s="8">
        <f>IF(N(D21)=0,"",F21/D21*1000)</f>
        <v/>
      </c>
      <c r="O21" s="7">
        <f>IF(AND(I21="",J21=""),"",N(I21)+N(J21))</f>
        <v/>
      </c>
      <c r="P21" s="9">
        <f>IF(N(O21)=0,"",K21/O21)</f>
        <v/>
      </c>
      <c r="Q21" s="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28" customWidth="1" min="4" max="4"/>
    <col width="16" customWidth="1" min="5" max="5"/>
    <col width="12" customWidth="1" min="6" max="6"/>
    <col width="10" customWidth="1" min="7" max="7"/>
    <col width="44" customWidth="1" min="8" max="8"/>
    <col width="9" customWidth="1" min="9" max="9"/>
    <col width="8" customWidth="1" min="10" max="10"/>
    <col width="10" customWidth="1" min="11" max="11"/>
    <col width="11" customWidth="1" min="12" max="12"/>
    <col width="8" customWidth="1" min="13" max="13"/>
    <col width="11" customWidth="1" min="14" max="14"/>
    <col width="11" customWidth="1" min="15" max="15"/>
    <col width="36" customWidth="1" min="16" max="16"/>
  </cols>
  <sheetData>
    <row r="1" ht="32" customHeight="1">
      <c r="A1" s="4" t="inlineStr">
        <is>
          <t>#</t>
        </is>
      </c>
      <c r="B1" s="4" t="inlineStr">
        <is>
          <t>Date</t>
        </is>
      </c>
      <c r="C1" s="4" t="inlineStr">
        <is>
          <t>Day</t>
        </is>
      </c>
      <c r="D1" s="4" t="inlineStr">
        <is>
          <t>Post id</t>
        </is>
      </c>
      <c r="E1" s="4" t="inlineStr">
        <is>
          <t>Pillar</t>
        </is>
      </c>
      <c r="F1" s="4" t="inlineStr">
        <is>
          <t>Audience</t>
        </is>
      </c>
      <c r="G1" s="4" t="inlineStr">
        <is>
          <t>Format</t>
        </is>
      </c>
      <c r="H1" s="4" t="inlineStr">
        <is>
          <t>Headline (slide 1)</t>
        </is>
      </c>
      <c r="I1" s="4" t="inlineStr">
        <is>
          <t>Reach</t>
        </is>
      </c>
      <c r="J1" s="4" t="inlineStr">
        <is>
          <t>Likes</t>
        </is>
      </c>
      <c r="K1" s="4" t="inlineStr">
        <is>
          <t>Comments</t>
        </is>
      </c>
      <c r="L1" s="4" t="inlineStr">
        <is>
          <t>Sends (shares)</t>
        </is>
      </c>
      <c r="M1" s="4" t="inlineStr">
        <is>
          <t>Saves</t>
        </is>
      </c>
      <c r="N1" s="4" t="inlineStr">
        <is>
          <t>Sends per 1k reach</t>
        </is>
      </c>
      <c r="O1" s="4" t="inlineStr">
        <is>
          <t>Saves per 1k reach</t>
        </is>
      </c>
      <c r="P1" s="4" t="inlineStr">
        <is>
          <t>Notes / what to repeat</t>
        </is>
      </c>
    </row>
    <row r="2">
      <c r="A2" s="7" t="n">
        <v>1</v>
      </c>
      <c r="B2" s="5" t="n">
        <v>46300</v>
      </c>
      <c r="C2" s="7">
        <f>TEXT(B2,"ddd")</f>
        <v/>
      </c>
      <c r="D2" s="7" t="inlineStr">
        <is>
          <t>hello-lahore</t>
        </is>
      </c>
      <c r="E2" s="7" t="inlineStr">
        <is>
          <t>see-it-first</t>
        </is>
      </c>
      <c r="F2" s="7" t="inlineStr">
        <is>
          <t>diners</t>
        </is>
      </c>
      <c r="G2" s="7" t="inlineStr">
        <is>
          <t>carousel</t>
        </is>
      </c>
      <c r="H2" s="7" t="inlineStr">
        <is>
          <t>See it before you order it.</t>
        </is>
      </c>
      <c r="I2" s="6" t="n"/>
      <c r="J2" s="6" t="n"/>
      <c r="K2" s="6" t="n"/>
      <c r="L2" s="6" t="n"/>
      <c r="M2" s="6" t="n"/>
      <c r="N2" s="8">
        <f>IF(N(I2)=0,"",L2/I2*1000)</f>
        <v/>
      </c>
      <c r="O2" s="8">
        <f>IF(N(I2)=0,"",M2/I2*1000)</f>
        <v/>
      </c>
      <c r="P2" s="6" t="n"/>
    </row>
    <row r="3">
      <c r="A3" s="7" t="n">
        <v>2</v>
      </c>
      <c r="B3" s="10">
        <f>$B$2+1</f>
        <v/>
      </c>
      <c r="C3" s="7">
        <f>TEXT(B3,"ddd")</f>
        <v/>
      </c>
      <c r="D3" s="7" t="inlineStr">
        <is>
          <t>waiter-is-back</t>
        </is>
      </c>
      <c r="E3" s="7" t="inlineStr">
        <is>
          <t>relatable</t>
        </is>
      </c>
      <c r="F3" s="7" t="inlineStr">
        <is>
          <t>diners</t>
        </is>
      </c>
      <c r="G3" s="7" t="inlineStr">
        <is>
          <t>single</t>
        </is>
      </c>
      <c r="H3" s="7" t="inlineStr">
        <is>
          <t>The waiter is back. Again.</t>
        </is>
      </c>
      <c r="I3" s="6" t="n"/>
      <c r="J3" s="6" t="n"/>
      <c r="K3" s="6" t="n"/>
      <c r="L3" s="6" t="n"/>
      <c r="M3" s="6" t="n"/>
      <c r="N3" s="8">
        <f>IF(N(I3)=0,"",L3/I3*1000)</f>
        <v/>
      </c>
      <c r="O3" s="8">
        <f>IF(N(I3)=0,"",M3/I3*1000)</f>
        <v/>
      </c>
      <c r="P3" s="6" t="n"/>
    </row>
    <row r="4">
      <c r="A4" s="7" t="n">
        <v>3</v>
      </c>
      <c r="B4" s="10">
        <f>$B$2+3</f>
        <v/>
      </c>
      <c r="C4" s="7">
        <f>TEXT(B4,"ddd")</f>
        <v/>
      </c>
      <c r="D4" s="7" t="inlineStr">
        <is>
          <t>scan-not-photo</t>
        </is>
      </c>
      <c r="E4" s="7" t="inlineStr">
        <is>
          <t>see-it-first</t>
        </is>
      </c>
      <c r="F4" s="7" t="inlineStr">
        <is>
          <t>diners</t>
        </is>
      </c>
      <c r="G4" s="7" t="inlineStr">
        <is>
          <t>single</t>
        </is>
      </c>
      <c r="H4" s="7" t="inlineStr">
        <is>
          <t>This is a scan, not a photo.</t>
        </is>
      </c>
      <c r="I4" s="6" t="n"/>
      <c r="J4" s="6" t="n"/>
      <c r="K4" s="6" t="n"/>
      <c r="L4" s="6" t="n"/>
      <c r="M4" s="6" t="n"/>
      <c r="N4" s="8">
        <f>IF(N(I4)=0,"",L4/I4*1000)</f>
        <v/>
      </c>
      <c r="O4" s="8">
        <f>IF(N(I4)=0,"",M4/I4*1000)</f>
        <v/>
      </c>
      <c r="P4" s="6" t="n"/>
    </row>
    <row r="5">
      <c r="A5" s="7" t="n">
        <v>4</v>
      </c>
      <c r="B5" s="10">
        <f>$B$2+4</f>
        <v/>
      </c>
      <c r="C5" s="7">
        <f>TEXT(B5,"ddd")</f>
        <v/>
      </c>
      <c r="D5" s="7" t="inlineStr">
        <is>
          <t>friday-pick-one</t>
        </is>
      </c>
      <c r="E5" s="7" t="inlineStr">
        <is>
          <t>relatable</t>
        </is>
      </c>
      <c r="F5" s="7" t="inlineStr">
        <is>
          <t>diners</t>
        </is>
      </c>
      <c r="G5" s="7" t="inlineStr">
        <is>
          <t>single</t>
        </is>
      </c>
      <c r="H5" s="7" t="inlineStr">
        <is>
          <t>Friday night. Pick one.</t>
        </is>
      </c>
      <c r="I5" s="6" t="n"/>
      <c r="J5" s="6" t="n"/>
      <c r="K5" s="6" t="n"/>
      <c r="L5" s="6" t="n"/>
      <c r="M5" s="6" t="n"/>
      <c r="N5" s="8">
        <f>IF(N(I5)=0,"",L5/I5*1000)</f>
        <v/>
      </c>
      <c r="O5" s="8">
        <f>IF(N(I5)=0,"",M5/I5*1000)</f>
        <v/>
      </c>
      <c r="P5" s="6" t="n"/>
    </row>
    <row r="6">
      <c r="A6" s="7" t="n">
        <v>5</v>
      </c>
      <c r="B6" s="10">
        <f>$B$2+5</f>
        <v/>
      </c>
      <c r="C6" s="7">
        <f>TEXT(B6,"ddd")</f>
        <v/>
      </c>
      <c r="D6" s="7" t="inlineStr">
        <is>
          <t>group-order-guide</t>
        </is>
      </c>
      <c r="E6" s="7" t="inlineStr">
        <is>
          <t>menu-truth</t>
        </is>
      </c>
      <c r="F6" s="7" t="inlineStr">
        <is>
          <t>diners</t>
        </is>
      </c>
      <c r="G6" s="7" t="inlineStr">
        <is>
          <t>carousel</t>
        </is>
      </c>
      <c r="H6" s="7" t="inlineStr">
        <is>
          <t>Ordering for eight, without the chaos.</t>
        </is>
      </c>
      <c r="I6" s="6" t="n"/>
      <c r="J6" s="6" t="n"/>
      <c r="K6" s="6" t="n"/>
      <c r="L6" s="6" t="n"/>
      <c r="M6" s="6" t="n"/>
      <c r="N6" s="8">
        <f>IF(N(I6)=0,"",L6/I6*1000)</f>
        <v/>
      </c>
      <c r="O6" s="8">
        <f>IF(N(I6)=0,"",M6/I6*1000)</f>
        <v/>
      </c>
      <c r="P6" s="6" t="n"/>
    </row>
    <row r="7">
      <c r="A7" s="7" t="n">
        <v>6</v>
      </c>
      <c r="B7" s="10">
        <f>$B$2+6</f>
        <v/>
      </c>
      <c r="C7" s="7">
        <f>TEXT(B7,"ddd")</f>
        <v/>
      </c>
      <c r="D7" s="7" t="inlineStr">
        <is>
          <t>quietest-salesperson</t>
        </is>
      </c>
      <c r="E7" s="7" t="inlineStr">
        <is>
          <t>for-restaurants</t>
        </is>
      </c>
      <c r="F7" s="7" t="inlineStr">
        <is>
          <t>restaurants</t>
        </is>
      </c>
      <c r="G7" s="7" t="inlineStr">
        <is>
          <t>carousel</t>
        </is>
      </c>
      <c r="H7" s="7" t="inlineStr">
        <is>
          <t>Your menu is your quietest salesperson.</t>
        </is>
      </c>
      <c r="I7" s="6" t="n"/>
      <c r="J7" s="6" t="n"/>
      <c r="K7" s="6" t="n"/>
      <c r="L7" s="6" t="n"/>
      <c r="M7" s="6" t="n"/>
      <c r="N7" s="8">
        <f>IF(N(I7)=0,"",L7/I7*1000)</f>
        <v/>
      </c>
      <c r="O7" s="8">
        <f>IF(N(I7)=0,"",M7/I7*1000)</f>
        <v/>
      </c>
      <c r="P7" s="6" t="n"/>
    </row>
    <row r="8">
      <c r="A8" s="7" t="n">
        <v>7</v>
      </c>
      <c r="B8" s="10">
        <f>$B$2+8</f>
        <v/>
      </c>
      <c r="C8" s="7">
        <f>TEXT(B8,"ddd")</f>
        <v/>
      </c>
      <c r="D8" s="7" t="inlineStr">
        <is>
          <t>menu-photo-vs-plate</t>
        </is>
      </c>
      <c r="E8" s="7" t="inlineStr">
        <is>
          <t>menu-truth</t>
        </is>
      </c>
      <c r="F8" s="7" t="inlineStr">
        <is>
          <t>diners</t>
        </is>
      </c>
      <c r="G8" s="7" t="inlineStr">
        <is>
          <t>single</t>
        </is>
      </c>
      <c r="H8" s="7" t="inlineStr">
        <is>
          <t>Menu photos lie. Scans don't.</t>
        </is>
      </c>
      <c r="I8" s="6" t="n"/>
      <c r="J8" s="6" t="n"/>
      <c r="K8" s="6" t="n"/>
      <c r="L8" s="6" t="n"/>
      <c r="M8" s="6" t="n"/>
      <c r="N8" s="8">
        <f>IF(N(I8)=0,"",L8/I8*1000)</f>
        <v/>
      </c>
      <c r="O8" s="8">
        <f>IF(N(I8)=0,"",M8/I8*1000)</f>
        <v/>
      </c>
      <c r="P8" s="6" t="n"/>
    </row>
    <row r="9">
      <c r="A9" s="7" t="n">
        <v>8</v>
      </c>
      <c r="B9" s="10">
        <f>$B$2+10</f>
        <v/>
      </c>
      <c r="C9" s="7">
        <f>TEXT(B9,"ddd")</f>
        <v/>
      </c>
      <c r="D9" s="7" t="inlineStr">
        <is>
          <t>how-it-works-3-steps</t>
        </is>
      </c>
      <c r="E9" s="7" t="inlineStr">
        <is>
          <t>see-it-first</t>
        </is>
      </c>
      <c r="F9" s="7" t="inlineStr">
        <is>
          <t>diners</t>
        </is>
      </c>
      <c r="G9" s="7" t="inlineStr">
        <is>
          <t>carousel</t>
        </is>
      </c>
      <c r="H9" s="7" t="inlineStr">
        <is>
          <t>Scan the code on your table</t>
        </is>
      </c>
      <c r="I9" s="6" t="n"/>
      <c r="J9" s="6" t="n"/>
      <c r="K9" s="6" t="n"/>
      <c r="L9" s="6" t="n"/>
      <c r="M9" s="6" t="n"/>
      <c r="N9" s="8">
        <f>IF(N(I9)=0,"",L9/I9*1000)</f>
        <v/>
      </c>
      <c r="O9" s="8">
        <f>IF(N(I9)=0,"",M9/I9*1000)</f>
        <v/>
      </c>
      <c r="P9" s="6" t="n"/>
    </row>
    <row r="10">
      <c r="A10" s="7" t="n">
        <v>9</v>
      </c>
      <c r="B10" s="10">
        <f>$B$2+11</f>
        <v/>
      </c>
      <c r="C10" s="7">
        <f>TEXT(B10,"ddd")</f>
        <v/>
      </c>
      <c r="D10" s="7" t="inlineStr">
        <is>
          <t>world-food-day</t>
        </is>
      </c>
      <c r="E10" s="7" t="inlineStr">
        <is>
          <t>relatable</t>
        </is>
      </c>
      <c r="F10" s="7" t="inlineStr">
        <is>
          <t>diners</t>
        </is>
      </c>
      <c r="G10" s="7" t="inlineStr">
        <is>
          <t>single</t>
        </is>
      </c>
      <c r="H10" s="7" t="inlineStr">
        <is>
          <t>Order what you actually want.</t>
        </is>
      </c>
      <c r="I10" s="6" t="n"/>
      <c r="J10" s="6" t="n"/>
      <c r="K10" s="6" t="n"/>
      <c r="L10" s="6" t="n"/>
      <c r="M10" s="6" t="n"/>
      <c r="N10" s="8">
        <f>IF(N(I10)=0,"",L10/I10*1000)</f>
        <v/>
      </c>
      <c r="O10" s="8">
        <f>IF(N(I10)=0,"",M10/I10*1000)</f>
        <v/>
      </c>
      <c r="P10" s="6" t="n"/>
    </row>
    <row r="11">
      <c r="A11" s="7" t="n">
        <v>10</v>
      </c>
      <c r="B11" s="10">
        <f>$B$2+12</f>
        <v/>
      </c>
      <c r="C11" s="7">
        <f>TEXT(B11,"ddd")</f>
        <v/>
      </c>
      <c r="D11" s="7" t="inlineStr">
        <is>
          <t>pov-portion-size</t>
        </is>
      </c>
      <c r="E11" s="7" t="inlineStr">
        <is>
          <t>relatable</t>
        </is>
      </c>
      <c r="F11" s="7" t="inlineStr">
        <is>
          <t>diners</t>
        </is>
      </c>
      <c r="G11" s="7" t="inlineStr">
        <is>
          <t>single</t>
        </is>
      </c>
      <c r="H11" s="7" t="inlineStr">
        <is>
          <t>You didn't check the portion size.</t>
        </is>
      </c>
      <c r="I11" s="6" t="n"/>
      <c r="J11" s="6" t="n"/>
      <c r="K11" s="6" t="n"/>
      <c r="L11" s="6" t="n"/>
      <c r="M11" s="6" t="n"/>
      <c r="N11" s="8">
        <f>IF(N(I11)=0,"",L11/I11*1000)</f>
        <v/>
      </c>
      <c r="O11" s="8">
        <f>IF(N(I11)=0,"",M11/I11*1000)</f>
        <v/>
      </c>
      <c r="P11" s="6" t="n"/>
    </row>
    <row r="12">
      <c r="A12" s="7" t="n">
        <v>11</v>
      </c>
      <c r="B12" s="10">
        <f>$B$2+13</f>
        <v/>
      </c>
      <c r="C12" s="7">
        <f>TEXT(B12,"ddd")</f>
        <v/>
      </c>
      <c r="D12" s="7" t="inlineStr">
        <is>
          <t>faq-do-i-need-an-app</t>
        </is>
      </c>
      <c r="E12" s="7" t="inlineStr">
        <is>
          <t>see-it-first</t>
        </is>
      </c>
      <c r="F12" s="7" t="inlineStr">
        <is>
          <t>diners</t>
        </is>
      </c>
      <c r="G12" s="7" t="inlineStr">
        <is>
          <t>carousel</t>
        </is>
      </c>
      <c r="H12" s="7" t="inlineStr">
        <is>
          <t>Do I need an app?</t>
        </is>
      </c>
      <c r="I12" s="6" t="n"/>
      <c r="J12" s="6" t="n"/>
      <c r="K12" s="6" t="n"/>
      <c r="L12" s="6" t="n"/>
      <c r="M12" s="6" t="n"/>
      <c r="N12" s="8">
        <f>IF(N(I12)=0,"",L12/I12*1000)</f>
        <v/>
      </c>
      <c r="O12" s="8">
        <f>IF(N(I12)=0,"",M12/I12*1000)</f>
        <v/>
      </c>
      <c r="P12" s="6" t="n"/>
    </row>
    <row r="13">
      <c r="A13" s="7" t="n">
        <v>12</v>
      </c>
      <c r="B13" s="10">
        <f>$B$2+15</f>
        <v/>
      </c>
      <c r="C13" s="7">
        <f>TEXT(B13,"ddd")</f>
        <v/>
      </c>
      <c r="D13" s="7" t="inlineStr">
        <is>
          <t>the-safe-order</t>
        </is>
      </c>
      <c r="E13" s="7" t="inlineStr">
        <is>
          <t>relatable</t>
        </is>
      </c>
      <c r="F13" s="7" t="inlineStr">
        <is>
          <t>diners</t>
        </is>
      </c>
      <c r="G13" s="7" t="inlineStr">
        <is>
          <t>single</t>
        </is>
      </c>
      <c r="H13" s="7" t="inlineStr">
        <is>
          <t>New restaurant. New menu. Same order.</t>
        </is>
      </c>
      <c r="I13" s="6" t="n"/>
      <c r="J13" s="6" t="n"/>
      <c r="K13" s="6" t="n"/>
      <c r="L13" s="6" t="n"/>
      <c r="M13" s="6" t="n"/>
      <c r="N13" s="8">
        <f>IF(N(I13)=0,"",L13/I13*1000)</f>
        <v/>
      </c>
      <c r="O13" s="8">
        <f>IF(N(I13)=0,"",M13/I13*1000)</f>
        <v/>
      </c>
      <c r="P13" s="6" t="n"/>
    </row>
    <row r="14">
      <c r="A14" s="7" t="n">
        <v>13</v>
      </c>
      <c r="B14" s="10">
        <f>$B$2+17</f>
        <v/>
      </c>
      <c r="C14" s="7">
        <f>TEXT(B14,"ddd")</f>
        <v/>
      </c>
      <c r="D14" s="7" t="inlineStr">
        <is>
          <t>turn-it-around</t>
        </is>
      </c>
      <c r="E14" s="7" t="inlineStr">
        <is>
          <t>see-it-first</t>
        </is>
      </c>
      <c r="F14" s="7" t="inlineStr">
        <is>
          <t>diners</t>
        </is>
      </c>
      <c r="G14" s="7" t="inlineStr">
        <is>
          <t>single</t>
        </is>
      </c>
      <c r="H14" s="7" t="inlineStr">
        <is>
          <t>Turn it around.</t>
        </is>
      </c>
      <c r="I14" s="6" t="n"/>
      <c r="J14" s="6" t="n"/>
      <c r="K14" s="6" t="n"/>
      <c r="L14" s="6" t="n"/>
      <c r="M14" s="6" t="n"/>
      <c r="N14" s="8">
        <f>IF(N(I14)=0,"",L14/I14*1000)</f>
        <v/>
      </c>
      <c r="O14" s="8">
        <f>IF(N(I14)=0,"",M14/I14*1000)</f>
        <v/>
      </c>
      <c r="P14" s="6" t="n"/>
    </row>
    <row r="15">
      <c r="A15" s="7" t="n">
        <v>14</v>
      </c>
      <c r="B15" s="10">
        <f>$B$2+18</f>
        <v/>
      </c>
      <c r="C15" s="7">
        <f>TEXT(B15,"ddd")</f>
        <v/>
      </c>
      <c r="D15" s="7" t="inlineStr">
        <is>
          <t>owners-what-guests-ask</t>
        </is>
      </c>
      <c r="E15" s="7" t="inlineStr">
        <is>
          <t>for-restaurants</t>
        </is>
      </c>
      <c r="F15" s="7" t="inlineStr">
        <is>
          <t>restaurants</t>
        </is>
      </c>
      <c r="G15" s="7" t="inlineStr">
        <is>
          <t>single</t>
        </is>
      </c>
      <c r="H15" s="7" t="inlineStr">
        <is>
          <t>The most asked question in your restaurant: "What does it look like?"</t>
        </is>
      </c>
      <c r="I15" s="6" t="n"/>
      <c r="J15" s="6" t="n"/>
      <c r="K15" s="6" t="n"/>
      <c r="L15" s="6" t="n"/>
      <c r="M15" s="6" t="n"/>
      <c r="N15" s="8">
        <f>IF(N(I15)=0,"",L15/I15*1000)</f>
        <v/>
      </c>
      <c r="O15" s="8">
        <f>IF(N(I15)=0,"",M15/I15*1000)</f>
        <v/>
      </c>
      <c r="P15" s="6" t="n"/>
    </row>
    <row r="16">
      <c r="A16" s="7" t="n">
        <v>15</v>
      </c>
      <c r="B16" s="10">
        <f>$B$2+19</f>
        <v/>
      </c>
      <c r="C16" s="7">
        <f>TEXT(B16,"ddd")</f>
        <v/>
      </c>
      <c r="D16" s="7" t="inlineStr">
        <is>
          <t>weekend-plans</t>
        </is>
      </c>
      <c r="E16" s="7" t="inlineStr">
        <is>
          <t>relatable</t>
        </is>
      </c>
      <c r="F16" s="7" t="inlineStr">
        <is>
          <t>diners</t>
        </is>
      </c>
      <c r="G16" s="7" t="inlineStr">
        <is>
          <t>single</t>
        </is>
      </c>
      <c r="H16" s="7" t="inlineStr">
        <is>
          <t>Weekend plans, sorted.</t>
        </is>
      </c>
      <c r="I16" s="6" t="n"/>
      <c r="J16" s="6" t="n"/>
      <c r="K16" s="6" t="n"/>
      <c r="L16" s="6" t="n"/>
      <c r="M16" s="6" t="n"/>
      <c r="N16" s="8">
        <f>IF(N(I16)=0,"",L16/I16*1000)</f>
        <v/>
      </c>
      <c r="O16" s="8">
        <f>IF(N(I16)=0,"",M16/I16*1000)</f>
        <v/>
      </c>
      <c r="P16" s="6" t="n"/>
    </row>
    <row r="17">
      <c r="A17" s="7" t="n">
        <v>16</v>
      </c>
      <c r="B17" s="10">
        <f>$B$2+20</f>
        <v/>
      </c>
      <c r="C17" s="7">
        <f>TEXT(B17,"ddd")</f>
        <v/>
      </c>
      <c r="D17" s="7" t="inlineStr">
        <is>
          <t>three-things-a-scan-shows</t>
        </is>
      </c>
      <c r="E17" s="7" t="inlineStr">
        <is>
          <t>menu-truth</t>
        </is>
      </c>
      <c r="F17" s="7" t="inlineStr">
        <is>
          <t>diners</t>
        </is>
      </c>
      <c r="G17" s="7" t="inlineStr">
        <is>
          <t>carousel</t>
        </is>
      </c>
      <c r="H17" s="7" t="inlineStr">
        <is>
          <t>Three things a menu line never tells you.</t>
        </is>
      </c>
      <c r="I17" s="6" t="n"/>
      <c r="J17" s="6" t="n"/>
      <c r="K17" s="6" t="n"/>
      <c r="L17" s="6" t="n"/>
      <c r="M17" s="6" t="n"/>
      <c r="N17" s="8">
        <f>IF(N(I17)=0,"",L17/I17*1000)</f>
        <v/>
      </c>
      <c r="O17" s="8">
        <f>IF(N(I17)=0,"",M17/I17*1000)</f>
        <v/>
      </c>
      <c r="P17" s="6" t="n"/>
    </row>
    <row r="18">
      <c r="A18" s="7" t="n">
        <v>17</v>
      </c>
      <c r="B18" s="10">
        <f>$B$2+22</f>
        <v/>
      </c>
      <c r="C18" s="7">
        <f>TEXT(B18,"ddd")</f>
        <v/>
      </c>
      <c r="D18" s="7" t="inlineStr">
        <is>
          <t>menu-anxiety</t>
        </is>
      </c>
      <c r="E18" s="7" t="inlineStr">
        <is>
          <t>relatable</t>
        </is>
      </c>
      <c r="F18" s="7" t="inlineStr">
        <is>
          <t>diners</t>
        </is>
      </c>
      <c r="G18" s="7" t="inlineStr">
        <is>
          <t>single</t>
        </is>
      </c>
      <c r="H18" s="7" t="inlineStr">
        <is>
          <t>Twelve pages. No pictures. The waiter is watching.</t>
        </is>
      </c>
      <c r="I18" s="6" t="n"/>
      <c r="J18" s="6" t="n"/>
      <c r="K18" s="6" t="n"/>
      <c r="L18" s="6" t="n"/>
      <c r="M18" s="6" t="n"/>
      <c r="N18" s="8">
        <f>IF(N(I18)=0,"",L18/I18*1000)</f>
        <v/>
      </c>
      <c r="O18" s="8">
        <f>IF(N(I18)=0,"",M18/I18*1000)</f>
        <v/>
      </c>
      <c r="P18" s="6" t="n"/>
    </row>
    <row r="19">
      <c r="A19" s="7" t="n">
        <v>18</v>
      </c>
      <c r="B19" s="10">
        <f>$B$2+24</f>
        <v/>
      </c>
      <c r="C19" s="7">
        <f>TEXT(B19,"ddd")</f>
        <v/>
      </c>
      <c r="D19" s="7" t="inlineStr">
        <is>
          <t>owners-plating-credit</t>
        </is>
      </c>
      <c r="E19" s="7" t="inlineStr">
        <is>
          <t>for-restaurants</t>
        </is>
      </c>
      <c r="F19" s="7" t="inlineStr">
        <is>
          <t>restaurants</t>
        </is>
      </c>
      <c r="G19" s="7" t="inlineStr">
        <is>
          <t>single</t>
        </is>
      </c>
      <c r="H19" s="7" t="inlineStr">
        <is>
          <t>Your plating, before the order.</t>
        </is>
      </c>
      <c r="I19" s="6" t="n"/>
      <c r="J19" s="6" t="n"/>
      <c r="K19" s="6" t="n"/>
      <c r="L19" s="6" t="n"/>
      <c r="M19" s="6" t="n"/>
      <c r="N19" s="8">
        <f>IF(N(I19)=0,"",L19/I19*1000)</f>
        <v/>
      </c>
      <c r="O19" s="8">
        <f>IF(N(I19)=0,"",M19/I19*1000)</f>
        <v/>
      </c>
      <c r="P19" s="6" t="n"/>
    </row>
    <row r="20">
      <c r="A20" s="7" t="n">
        <v>19</v>
      </c>
      <c r="B20" s="10">
        <f>$B$2+25</f>
        <v/>
      </c>
      <c r="C20" s="7">
        <f>TEXT(B20,"ddd")</f>
        <v/>
      </c>
      <c r="D20" s="7" t="inlineStr">
        <is>
          <t>pick-one-sandwich-board</t>
        </is>
      </c>
      <c r="E20" s="7" t="inlineStr">
        <is>
          <t>relatable</t>
        </is>
      </c>
      <c r="F20" s="7" t="inlineStr">
        <is>
          <t>diners</t>
        </is>
      </c>
      <c r="G20" s="7" t="inlineStr">
        <is>
          <t>single</t>
        </is>
      </c>
      <c r="H20" s="7" t="inlineStr">
        <is>
          <t>Lunch or dinner, pick one.</t>
        </is>
      </c>
      <c r="I20" s="6" t="n"/>
      <c r="J20" s="6" t="n"/>
      <c r="K20" s="6" t="n"/>
      <c r="L20" s="6" t="n"/>
      <c r="M20" s="6" t="n"/>
      <c r="N20" s="8">
        <f>IF(N(I20)=0,"",L20/I20*1000)</f>
        <v/>
      </c>
      <c r="O20" s="8">
        <f>IF(N(I20)=0,"",M20/I20*1000)</f>
        <v/>
      </c>
      <c r="P20" s="6" t="n"/>
    </row>
    <row r="21">
      <c r="A21" s="7" t="n">
        <v>20</v>
      </c>
      <c r="B21" s="10">
        <f>$B$2+26</f>
        <v/>
      </c>
      <c r="C21" s="7">
        <f>TEXT(B21,"ddd")</f>
        <v/>
      </c>
      <c r="D21" s="7" t="inlineStr">
        <is>
          <t>halloween-scary-menus</t>
        </is>
      </c>
      <c r="E21" s="7" t="inlineStr">
        <is>
          <t>relatable</t>
        </is>
      </c>
      <c r="F21" s="7" t="inlineStr">
        <is>
          <t>diners</t>
        </is>
      </c>
      <c r="G21" s="7" t="inlineStr">
        <is>
          <t>carousel</t>
        </is>
      </c>
      <c r="H21" s="7" t="inlineStr">
        <is>
          <t>The scariest thing in Lahore tonight is a menu with no photos.</t>
        </is>
      </c>
      <c r="I21" s="6" t="n"/>
      <c r="J21" s="6" t="n"/>
      <c r="K21" s="6" t="n"/>
      <c r="L21" s="6" t="n"/>
      <c r="M21" s="6" t="n"/>
      <c r="N21" s="8">
        <f>IF(N(I21)=0,"",L21/I21*1000)</f>
        <v/>
      </c>
      <c r="O21" s="8">
        <f>IF(N(I21)=0,"",M21/I21*1000)</f>
        <v/>
      </c>
      <c r="P21" s="6" t="n"/>
    </row>
    <row r="22">
      <c r="A22" s="7" t="n">
        <v>21</v>
      </c>
      <c r="B22" s="10">
        <f>$B$2+27</f>
        <v/>
      </c>
      <c r="C22" s="7">
        <f>TEXT(B22,"ddd")</f>
        <v/>
      </c>
      <c r="D22" s="7" t="inlineStr">
        <is>
          <t>save-for-date-night</t>
        </is>
      </c>
      <c r="E22" s="7" t="inlineStr">
        <is>
          <t>see-it-first</t>
        </is>
      </c>
      <c r="F22" s="7" t="inlineStr">
        <is>
          <t>diners</t>
        </is>
      </c>
      <c r="G22" s="7" t="inlineStr">
        <is>
          <t>single</t>
        </is>
      </c>
      <c r="H22" s="7" t="inlineStr">
        <is>
          <t>Date night. No surprises.</t>
        </is>
      </c>
      <c r="I22" s="6" t="n"/>
      <c r="J22" s="6" t="n"/>
      <c r="K22" s="6" t="n"/>
      <c r="L22" s="6" t="n"/>
      <c r="M22" s="6" t="n"/>
      <c r="N22" s="8">
        <f>IF(N(I22)=0,"",L22/I22*1000)</f>
        <v/>
      </c>
      <c r="O22" s="8">
        <f>IF(N(I22)=0,"",M22/I22*1000)</f>
        <v/>
      </c>
      <c r="P22" s="6" t="n"/>
    </row>
    <row r="23">
      <c r="A23" s="7" t="n">
        <v>22</v>
      </c>
      <c r="B23" s="10">
        <f>$B$2+29</f>
        <v/>
      </c>
      <c r="C23" s="7">
        <f>TEXT(B23,"ddd")</f>
        <v/>
      </c>
      <c r="D23" s="7" t="inlineStr">
        <is>
          <t>smog-season-indoors</t>
        </is>
      </c>
      <c r="E23" s="7" t="inlineStr">
        <is>
          <t>relatable</t>
        </is>
      </c>
      <c r="F23" s="7" t="inlineStr">
        <is>
          <t>diners</t>
        </is>
      </c>
      <c r="G23" s="7" t="inlineStr">
        <is>
          <t>single</t>
        </is>
      </c>
      <c r="H23" s="7" t="inlineStr">
        <is>
          <t>Smog outside. Good food inside.</t>
        </is>
      </c>
      <c r="I23" s="6" t="n"/>
      <c r="J23" s="6" t="n"/>
      <c r="K23" s="6" t="n"/>
      <c r="L23" s="6" t="n"/>
      <c r="M23" s="6" t="n"/>
      <c r="N23" s="8">
        <f>IF(N(I23)=0,"",L23/I23*1000)</f>
        <v/>
      </c>
      <c r="O23" s="8">
        <f>IF(N(I23)=0,"",M23/I23*1000)</f>
        <v/>
      </c>
      <c r="P23" s="6" t="n"/>
    </row>
    <row r="24">
      <c r="A24" s="7" t="n">
        <v>23</v>
      </c>
      <c r="B24" s="10">
        <f>$B$2+31</f>
        <v/>
      </c>
      <c r="C24" s="7">
        <f>TEXT(B24,"ddd")</f>
        <v/>
      </c>
      <c r="D24" s="7" t="inlineStr">
        <is>
          <t>how-we-scan</t>
        </is>
      </c>
      <c r="E24" s="7" t="inlineStr">
        <is>
          <t>behind-the-scan</t>
        </is>
      </c>
      <c r="F24" s="7" t="inlineStr">
        <is>
          <t>both</t>
        </is>
      </c>
      <c r="G24" s="7" t="inlineStr">
        <is>
          <t>carousel</t>
        </is>
      </c>
      <c r="H24" s="7" t="inlineStr">
        <is>
          <t>How a dish becomes a scan.</t>
        </is>
      </c>
      <c r="I24" s="6" t="n"/>
      <c r="J24" s="6" t="n"/>
      <c r="K24" s="6" t="n"/>
      <c r="L24" s="6" t="n"/>
      <c r="M24" s="6" t="n"/>
      <c r="N24" s="8">
        <f>IF(N(I24)=0,"",L24/I24*1000)</f>
        <v/>
      </c>
      <c r="O24" s="8">
        <f>IF(N(I24)=0,"",M24/I24*1000)</f>
        <v/>
      </c>
      <c r="P24" s="6" t="n"/>
    </row>
    <row r="25">
      <c r="A25" s="7" t="n">
        <v>24</v>
      </c>
      <c r="B25" s="10">
        <f>$B$2+32</f>
        <v/>
      </c>
      <c r="C25" s="7">
        <f>TEXT(B25,"ddd")</f>
        <v/>
      </c>
      <c r="D25" s="7" t="inlineStr">
        <is>
          <t>true-size</t>
        </is>
      </c>
      <c r="E25" s="7" t="inlineStr">
        <is>
          <t>see-it-first</t>
        </is>
      </c>
      <c r="F25" s="7" t="inlineStr">
        <is>
          <t>diners</t>
        </is>
      </c>
      <c r="G25" s="7" t="inlineStr">
        <is>
          <t>single</t>
        </is>
      </c>
      <c r="H25" s="7" t="inlineStr">
        <is>
          <t>No zoom. No tricks. True size.</t>
        </is>
      </c>
      <c r="I25" s="6" t="n"/>
      <c r="J25" s="6" t="n"/>
      <c r="K25" s="6" t="n"/>
      <c r="L25" s="6" t="n"/>
      <c r="M25" s="6" t="n"/>
      <c r="N25" s="8">
        <f>IF(N(I25)=0,"",L25/I25*1000)</f>
        <v/>
      </c>
      <c r="O25" s="8">
        <f>IF(N(I25)=0,"",M25/I25*1000)</f>
        <v/>
      </c>
      <c r="P25" s="6" t="n"/>
    </row>
    <row r="26">
      <c r="A26" s="7" t="n">
        <v>25</v>
      </c>
      <c r="B26" s="10">
        <f>$B$2+33</f>
        <v/>
      </c>
      <c r="C26" s="7">
        <f>TEXT(B26,"ddd")</f>
        <v/>
      </c>
      <c r="D26" s="7" t="inlineStr">
        <is>
          <t>sight-test-1</t>
        </is>
      </c>
      <c r="E26" s="7" t="inlineStr">
        <is>
          <t>menu-truth</t>
        </is>
      </c>
      <c r="F26" s="7" t="inlineStr">
        <is>
          <t>diners</t>
        </is>
      </c>
      <c r="G26" s="7" t="inlineStr">
        <is>
          <t>carousel</t>
        </is>
      </c>
      <c r="H26" s="7" t="inlineStr">
        <is>
          <t>Taste tests happen after you order. Sight tests happen before.</t>
        </is>
      </c>
      <c r="I26" s="6" t="n"/>
      <c r="J26" s="6" t="n"/>
      <c r="K26" s="6" t="n"/>
      <c r="L26" s="6" t="n"/>
      <c r="M26" s="6" t="n"/>
      <c r="N26" s="8">
        <f>IF(N(I26)=0,"",L26/I26*1000)</f>
        <v/>
      </c>
      <c r="O26" s="8">
        <f>IF(N(I26)=0,"",M26/I26*1000)</f>
        <v/>
      </c>
      <c r="P26" s="6" t="n"/>
    </row>
    <row r="27">
      <c r="A27" s="7" t="n">
        <v>26</v>
      </c>
      <c r="B27" s="10">
        <f>$B$2+34</f>
        <v/>
      </c>
      <c r="C27" s="7">
        <f>TEXT(B27,"ddd")</f>
        <v/>
      </c>
      <c r="D27" s="7" t="inlineStr">
        <is>
          <t>owners-faq-1</t>
        </is>
      </c>
      <c r="E27" s="7" t="inlineStr">
        <is>
          <t>for-restaurants</t>
        </is>
      </c>
      <c r="F27" s="7" t="inlineStr">
        <is>
          <t>restaurants</t>
        </is>
      </c>
      <c r="G27" s="7" t="inlineStr">
        <is>
          <t>carousel</t>
        </is>
      </c>
      <c r="H27" s="7" t="inlineStr">
        <is>
          <t>Do guests need an app?</t>
        </is>
      </c>
      <c r="I27" s="6" t="n"/>
      <c r="J27" s="6" t="n"/>
      <c r="K27" s="6" t="n"/>
      <c r="L27" s="6" t="n"/>
      <c r="M27" s="6" t="n"/>
      <c r="N27" s="8">
        <f>IF(N(I27)=0,"",L27/I27*1000)</f>
        <v/>
      </c>
      <c r="O27" s="8">
        <f>IF(N(I27)=0,"",M27/I27*1000)</f>
        <v/>
      </c>
      <c r="P27" s="6" t="n"/>
    </row>
    <row r="28">
      <c r="A28" s="7" t="n">
        <v>27</v>
      </c>
      <c r="B28" s="10">
        <f>$B$2+36</f>
        <v/>
      </c>
      <c r="C28" s="7">
        <f>TEXT(B28,"ddd")</f>
        <v/>
      </c>
      <c r="D28" s="7" t="inlineStr">
        <is>
          <t>you-vs-menu</t>
        </is>
      </c>
      <c r="E28" s="7" t="inlineStr">
        <is>
          <t>menu-truth</t>
        </is>
      </c>
      <c r="F28" s="7" t="inlineStr">
        <is>
          <t>diners</t>
        </is>
      </c>
      <c r="G28" s="7" t="inlineStr">
        <is>
          <t>single</t>
        </is>
      </c>
      <c r="H28" s="7" t="inlineStr">
        <is>
          <t>Which one makes you hungry?</t>
        </is>
      </c>
      <c r="I28" s="6" t="n"/>
      <c r="J28" s="6" t="n"/>
      <c r="K28" s="6" t="n"/>
      <c r="L28" s="6" t="n"/>
      <c r="M28" s="6" t="n"/>
      <c r="N28" s="8">
        <f>IF(N(I28)=0,"",L28/I28*1000)</f>
        <v/>
      </c>
      <c r="O28" s="8">
        <f>IF(N(I28)=0,"",M28/I28*1000)</f>
        <v/>
      </c>
      <c r="P28" s="6" t="n"/>
    </row>
    <row r="29">
      <c r="A29" s="7" t="n">
        <v>28</v>
      </c>
      <c r="B29" s="10">
        <f>$B$2+38</f>
        <v/>
      </c>
      <c r="C29" s="7">
        <f>TEXT(B29,"ddd")</f>
        <v/>
      </c>
      <c r="D29" s="7" t="inlineStr">
        <is>
          <t>show-the-waiter</t>
        </is>
      </c>
      <c r="E29" s="7" t="inlineStr">
        <is>
          <t>see-it-first</t>
        </is>
      </c>
      <c r="F29" s="7" t="inlineStr">
        <is>
          <t>diners</t>
        </is>
      </c>
      <c r="G29" s="7" t="inlineStr">
        <is>
          <t>single</t>
        </is>
      </c>
      <c r="H29" s="7" t="inlineStr">
        <is>
          <t>Build your list. Show the waiter.</t>
        </is>
      </c>
      <c r="I29" s="6" t="n"/>
      <c r="J29" s="6" t="n"/>
      <c r="K29" s="6" t="n"/>
      <c r="L29" s="6" t="n"/>
      <c r="M29" s="6" t="n"/>
      <c r="N29" s="8">
        <f>IF(N(I29)=0,"",L29/I29*1000)</f>
        <v/>
      </c>
      <c r="O29" s="8">
        <f>IF(N(I29)=0,"",M29/I29*1000)</f>
        <v/>
      </c>
      <c r="P29" s="6" t="n"/>
    </row>
    <row r="30">
      <c r="A30" s="7" t="n">
        <v>29</v>
      </c>
      <c r="B30" s="10">
        <f>$B$2+39</f>
        <v/>
      </c>
      <c r="C30" s="7">
        <f>TEXT(B30,"ddd")</f>
        <v/>
      </c>
      <c r="D30" s="7" t="inlineStr">
        <is>
          <t>the-overorderer</t>
        </is>
      </c>
      <c r="E30" s="7" t="inlineStr">
        <is>
          <t>relatable</t>
        </is>
      </c>
      <c r="F30" s="7" t="inlineStr">
        <is>
          <t>diners</t>
        </is>
      </c>
      <c r="G30" s="7" t="inlineStr">
        <is>
          <t>single</t>
        </is>
      </c>
      <c r="H30" s="7" t="inlineStr">
        <is>
          <t>The over-orderer.</t>
        </is>
      </c>
      <c r="I30" s="6" t="n"/>
      <c r="J30" s="6" t="n"/>
      <c r="K30" s="6" t="n"/>
      <c r="L30" s="6" t="n"/>
      <c r="M30" s="6" t="n"/>
      <c r="N30" s="8">
        <f>IF(N(I30)=0,"",L30/I30*1000)</f>
        <v/>
      </c>
      <c r="O30" s="8">
        <f>IF(N(I30)=0,"",M30/I30*1000)</f>
        <v/>
      </c>
      <c r="P30" s="6" t="n"/>
    </row>
    <row r="31">
      <c r="A31" s="7" t="n">
        <v>30</v>
      </c>
      <c r="B31" s="10">
        <f>$B$2+40</f>
        <v/>
      </c>
      <c r="C31" s="7">
        <f>TEXT(B31,"ddd")</f>
        <v/>
      </c>
      <c r="D31" s="7" t="inlineStr">
        <is>
          <t>closeup-steak</t>
        </is>
      </c>
      <c r="E31" s="7" t="inlineStr">
        <is>
          <t>see-it-first</t>
        </is>
      </c>
      <c r="F31" s="7" t="inlineStr">
        <is>
          <t>diners</t>
        </is>
      </c>
      <c r="G31" s="7" t="inlineStr">
        <is>
          <t>single</t>
        </is>
      </c>
      <c r="H31" s="7" t="inlineStr">
        <is>
          <t>Close enough to count the grill marks.</t>
        </is>
      </c>
      <c r="I31" s="6" t="n"/>
      <c r="J31" s="6" t="n"/>
      <c r="K31" s="6" t="n"/>
      <c r="L31" s="6" t="n"/>
      <c r="M31" s="6" t="n"/>
      <c r="N31" s="8">
        <f>IF(N(I31)=0,"",L31/I31*1000)</f>
        <v/>
      </c>
      <c r="O31" s="8">
        <f>IF(N(I31)=0,"",M31/I31*1000)</f>
        <v/>
      </c>
      <c r="P31" s="6" t="n"/>
    </row>
    <row r="32">
      <c r="A32" s="7" t="n">
        <v>31</v>
      </c>
      <c r="B32" s="10">
        <f>$B$2+41</f>
        <v/>
      </c>
      <c r="C32" s="7">
        <f>TEXT(B32,"ddd")</f>
        <v/>
      </c>
      <c r="D32" s="7" t="inlineStr">
        <is>
          <t>owners-problem-list</t>
        </is>
      </c>
      <c r="E32" s="7" t="inlineStr">
        <is>
          <t>for-restaurants</t>
        </is>
      </c>
      <c r="F32" s="7" t="inlineStr">
        <is>
          <t>restaurants</t>
        </is>
      </c>
      <c r="G32" s="7" t="inlineStr">
        <is>
          <t>single</t>
        </is>
      </c>
      <c r="H32" s="7" t="inlineStr">
        <is>
          <t>Five signs your menu is costing you orders</t>
        </is>
      </c>
      <c r="I32" s="6" t="n"/>
      <c r="J32" s="6" t="n"/>
      <c r="K32" s="6" t="n"/>
      <c r="L32" s="6" t="n"/>
      <c r="M32" s="6" t="n"/>
      <c r="N32" s="8">
        <f>IF(N(I32)=0,"",L32/I32*1000)</f>
        <v/>
      </c>
      <c r="O32" s="8">
        <f>IF(N(I32)=0,"",M32/I32*1000)</f>
        <v/>
      </c>
      <c r="P32" s="6" t="n"/>
    </row>
    <row r="33">
      <c r="A33" s="7" t="n">
        <v>32</v>
      </c>
      <c r="B33" s="10">
        <f>$B$2+43</f>
        <v/>
      </c>
      <c r="C33" s="7">
        <f>TEXT(B33,"ddd")</f>
        <v/>
      </c>
      <c r="D33" s="7" t="inlineStr">
        <is>
          <t>the-photographer</t>
        </is>
      </c>
      <c r="E33" s="7" t="inlineStr">
        <is>
          <t>relatable</t>
        </is>
      </c>
      <c r="F33" s="7" t="inlineStr">
        <is>
          <t>diners</t>
        </is>
      </c>
      <c r="G33" s="7" t="inlineStr">
        <is>
          <t>single</t>
        </is>
      </c>
      <c r="H33" s="7" t="inlineStr">
        <is>
          <t>The photographer. Camera eats first.</t>
        </is>
      </c>
      <c r="I33" s="6" t="n"/>
      <c r="J33" s="6" t="n"/>
      <c r="K33" s="6" t="n"/>
      <c r="L33" s="6" t="n"/>
      <c r="M33" s="6" t="n"/>
      <c r="N33" s="8">
        <f>IF(N(I33)=0,"",L33/I33*1000)</f>
        <v/>
      </c>
      <c r="O33" s="8">
        <f>IF(N(I33)=0,"",M33/I33*1000)</f>
        <v/>
      </c>
      <c r="P33" s="6" t="n"/>
    </row>
    <row r="34">
      <c r="A34" s="7" t="n">
        <v>33</v>
      </c>
      <c r="B34" s="10">
        <f>$B$2+45</f>
        <v/>
      </c>
      <c r="C34" s="7">
        <f>TEXT(B34,"ddd")</f>
        <v/>
      </c>
      <c r="D34" s="7" t="inlineStr">
        <is>
          <t>no-ai-food</t>
        </is>
      </c>
      <c r="E34" s="7" t="inlineStr">
        <is>
          <t>behind-the-scan</t>
        </is>
      </c>
      <c r="F34" s="7" t="inlineStr">
        <is>
          <t>both</t>
        </is>
      </c>
      <c r="G34" s="7" t="inlineStr">
        <is>
          <t>single</t>
        </is>
      </c>
      <c r="H34" s="7" t="inlineStr">
        <is>
          <t>No AI food. Ever.</t>
        </is>
      </c>
      <c r="I34" s="6" t="n"/>
      <c r="J34" s="6" t="n"/>
      <c r="K34" s="6" t="n"/>
      <c r="L34" s="6" t="n"/>
      <c r="M34" s="6" t="n"/>
      <c r="N34" s="8">
        <f>IF(N(I34)=0,"",L34/I34*1000)</f>
        <v/>
      </c>
      <c r="O34" s="8">
        <f>IF(N(I34)=0,"",M34/I34*1000)</f>
        <v/>
      </c>
      <c r="P34" s="6" t="n"/>
    </row>
    <row r="35">
      <c r="A35" s="7" t="n">
        <v>34</v>
      </c>
      <c r="B35" s="10">
        <f>$B$2+46</f>
        <v/>
      </c>
      <c r="C35" s="7">
        <f>TEXT(B35,"ddd")</f>
        <v/>
      </c>
      <c r="D35" s="7" t="inlineStr">
        <is>
          <t>is-it-worth-the-hype</t>
        </is>
      </c>
      <c r="E35" s="7" t="inlineStr">
        <is>
          <t>relatable</t>
        </is>
      </c>
      <c r="F35" s="7" t="inlineStr">
        <is>
          <t>diners</t>
        </is>
      </c>
      <c r="G35" s="7" t="inlineStr">
        <is>
          <t>single</t>
        </is>
      </c>
      <c r="H35" s="7" t="inlineStr">
        <is>
          <t>"Is it worth the hype?" Decide before you order.</t>
        </is>
      </c>
      <c r="I35" s="6" t="n"/>
      <c r="J35" s="6" t="n"/>
      <c r="K35" s="6" t="n"/>
      <c r="L35" s="6" t="n"/>
      <c r="M35" s="6" t="n"/>
      <c r="N35" s="8">
        <f>IF(N(I35)=0,"",L35/I35*1000)</f>
        <v/>
      </c>
      <c r="O35" s="8">
        <f>IF(N(I35)=0,"",M35/I35*1000)</f>
        <v/>
      </c>
      <c r="P35" s="6" t="n"/>
    </row>
    <row r="36">
      <c r="A36" s="7" t="n">
        <v>35</v>
      </c>
      <c r="B36" s="10">
        <f>$B$2+47</f>
        <v/>
      </c>
      <c r="C36" s="7">
        <f>TEXT(B36,"ddd")</f>
        <v/>
      </c>
      <c r="D36" s="7" t="inlineStr">
        <is>
          <t>what-changes-for-guests</t>
        </is>
      </c>
      <c r="E36" s="7" t="inlineStr">
        <is>
          <t>see-it-first</t>
        </is>
      </c>
      <c r="F36" s="7" t="inlineStr">
        <is>
          <t>diners</t>
        </is>
      </c>
      <c r="G36" s="7" t="inlineStr">
        <is>
          <t>carousel</t>
        </is>
      </c>
      <c r="H36" s="7" t="inlineStr">
        <is>
          <t>What changes when you see it first.</t>
        </is>
      </c>
      <c r="I36" s="6" t="n"/>
      <c r="J36" s="6" t="n"/>
      <c r="K36" s="6" t="n"/>
      <c r="L36" s="6" t="n"/>
      <c r="M36" s="6" t="n"/>
      <c r="N36" s="8">
        <f>IF(N(I36)=0,"",L36/I36*1000)</f>
        <v/>
      </c>
      <c r="O36" s="8">
        <f>IF(N(I36)=0,"",M36/I36*1000)</f>
        <v/>
      </c>
      <c r="P36" s="6" t="n"/>
    </row>
    <row r="37">
      <c r="A37" s="7" t="n">
        <v>36</v>
      </c>
      <c r="B37" s="10">
        <f>$B$2+48</f>
        <v/>
      </c>
      <c r="C37" s="7">
        <f>TEXT(B37,"ddd")</f>
        <v/>
      </c>
      <c r="D37" s="7" t="inlineStr">
        <is>
          <t>owners-how-pilot-works</t>
        </is>
      </c>
      <c r="E37" s="7" t="inlineStr">
        <is>
          <t>for-restaurants</t>
        </is>
      </c>
      <c r="F37" s="7" t="inlineStr">
        <is>
          <t>restaurants</t>
        </is>
      </c>
      <c r="G37" s="7" t="inlineStr">
        <is>
          <t>carousel</t>
        </is>
      </c>
      <c r="H37" s="7" t="inlineStr">
        <is>
          <t>How the pilot works.</t>
        </is>
      </c>
      <c r="I37" s="6" t="n"/>
      <c r="J37" s="6" t="n"/>
      <c r="K37" s="6" t="n"/>
      <c r="L37" s="6" t="n"/>
      <c r="M37" s="6" t="n"/>
      <c r="N37" s="8">
        <f>IF(N(I37)=0,"",L37/I37*1000)</f>
        <v/>
      </c>
      <c r="O37" s="8">
        <f>IF(N(I37)=0,"",M37/I37*1000)</f>
        <v/>
      </c>
      <c r="P37" s="6" t="n"/>
    </row>
    <row r="38">
      <c r="A38" s="7" t="n">
        <v>37</v>
      </c>
      <c r="B38" s="10">
        <f>$B$2+50</f>
        <v/>
      </c>
      <c r="C38" s="7">
        <f>TEXT(B38,"ddd")</f>
        <v/>
      </c>
      <c r="D38" s="7" t="inlineStr">
        <is>
          <t>wedding-season</t>
        </is>
      </c>
      <c r="E38" s="7" t="inlineStr">
        <is>
          <t>relatable</t>
        </is>
      </c>
      <c r="F38" s="7" t="inlineStr">
        <is>
          <t>diners</t>
        </is>
      </c>
      <c r="G38" s="7" t="inlineStr">
        <is>
          <t>single</t>
        </is>
      </c>
      <c r="H38" s="7" t="inlineStr">
        <is>
          <t>Shaadi ka khana fix hai.</t>
        </is>
      </c>
      <c r="I38" s="6" t="n"/>
      <c r="J38" s="6" t="n"/>
      <c r="K38" s="6" t="n"/>
      <c r="L38" s="6" t="n"/>
      <c r="M38" s="6" t="n"/>
      <c r="N38" s="8">
        <f>IF(N(I38)=0,"",L38/I38*1000)</f>
        <v/>
      </c>
      <c r="O38" s="8">
        <f>IF(N(I38)=0,"",M38/I38*1000)</f>
        <v/>
      </c>
      <c r="P38" s="6" t="n"/>
    </row>
    <row r="39">
      <c r="A39" s="7" t="n">
        <v>38</v>
      </c>
      <c r="B39" s="10">
        <f>$B$2+52</f>
        <v/>
      </c>
      <c r="C39" s="7">
        <f>TEXT(B39,"ddd")</f>
        <v/>
      </c>
      <c r="D39" s="7" t="inlineStr">
        <is>
          <t>the-sharer</t>
        </is>
      </c>
      <c r="E39" s="7" t="inlineStr">
        <is>
          <t>relatable</t>
        </is>
      </c>
      <c r="F39" s="7" t="inlineStr">
        <is>
          <t>diners</t>
        </is>
      </c>
      <c r="G39" s="7" t="inlineStr">
        <is>
          <t>single</t>
        </is>
      </c>
      <c r="H39" s="7" t="inlineStr">
        <is>
          <t>Three pieces. Six people.</t>
        </is>
      </c>
      <c r="I39" s="6" t="n"/>
      <c r="J39" s="6" t="n"/>
      <c r="K39" s="6" t="n"/>
      <c r="L39" s="6" t="n"/>
      <c r="M39" s="6" t="n"/>
      <c r="N39" s="8">
        <f>IF(N(I39)=0,"",L39/I39*1000)</f>
        <v/>
      </c>
      <c r="O39" s="8">
        <f>IF(N(I39)=0,"",M39/I39*1000)</f>
        <v/>
      </c>
      <c r="P39" s="6" t="n"/>
    </row>
    <row r="40">
      <c r="A40" s="7" t="n">
        <v>39</v>
      </c>
      <c r="B40" s="10">
        <f>$B$2+53</f>
        <v/>
      </c>
      <c r="C40" s="7">
        <f>TEXT(B40,"ddd")</f>
        <v/>
      </c>
      <c r="D40" s="7" t="inlineStr">
        <is>
          <t>white-friday</t>
        </is>
      </c>
      <c r="E40" s="7" t="inlineStr">
        <is>
          <t>relatable</t>
        </is>
      </c>
      <c r="F40" s="7" t="inlineStr">
        <is>
          <t>diners</t>
        </is>
      </c>
      <c r="G40" s="7" t="inlineStr">
        <is>
          <t>single</t>
        </is>
      </c>
      <c r="H40" s="7" t="inlineStr">
        <is>
          <t>Best deal today: no surprises.</t>
        </is>
      </c>
      <c r="I40" s="6" t="n"/>
      <c r="J40" s="6" t="n"/>
      <c r="K40" s="6" t="n"/>
      <c r="L40" s="6" t="n"/>
      <c r="M40" s="6" t="n"/>
      <c r="N40" s="8">
        <f>IF(N(I40)=0,"",L40/I40*1000)</f>
        <v/>
      </c>
      <c r="O40" s="8">
        <f>IF(N(I40)=0,"",M40/I40*1000)</f>
        <v/>
      </c>
      <c r="P40" s="6" t="n"/>
    </row>
    <row r="41">
      <c r="A41" s="7" t="n">
        <v>40</v>
      </c>
      <c r="B41" s="10">
        <f>$B$2+54</f>
        <v/>
      </c>
      <c r="C41" s="7">
        <f>TEXT(B41,"ddd")</f>
        <v/>
      </c>
      <c r="D41" s="7" t="inlineStr">
        <is>
          <t>turn-your-phone</t>
        </is>
      </c>
      <c r="E41" s="7" t="inlineStr">
        <is>
          <t>see-it-first</t>
        </is>
      </c>
      <c r="F41" s="7" t="inlineStr">
        <is>
          <t>diners</t>
        </is>
      </c>
      <c r="G41" s="7" t="inlineStr">
        <is>
          <t>single</t>
        </is>
      </c>
      <c r="H41" s="7" t="inlineStr">
        <is>
          <t>The whole table leans in.</t>
        </is>
      </c>
      <c r="I41" s="6" t="n"/>
      <c r="J41" s="6" t="n"/>
      <c r="K41" s="6" t="n"/>
      <c r="L41" s="6" t="n"/>
      <c r="M41" s="6" t="n"/>
      <c r="N41" s="8">
        <f>IF(N(I41)=0,"",L41/I41*1000)</f>
        <v/>
      </c>
      <c r="O41" s="8">
        <f>IF(N(I41)=0,"",M41/I41*1000)</f>
        <v/>
      </c>
      <c r="P41" s="6" t="n"/>
    </row>
    <row r="42">
      <c r="A42" s="7" t="n">
        <v>41</v>
      </c>
      <c r="B42" s="10">
        <f>$B$2+55</f>
        <v/>
      </c>
      <c r="C42" s="7">
        <f>TEXT(B42,"ddd")</f>
        <v/>
      </c>
      <c r="D42" s="7" t="inlineStr">
        <is>
          <t>owners-staff-time</t>
        </is>
      </c>
      <c r="E42" s="7" t="inlineStr">
        <is>
          <t>for-restaurants</t>
        </is>
      </c>
      <c r="F42" s="7" t="inlineStr">
        <is>
          <t>restaurants</t>
        </is>
      </c>
      <c r="G42" s="7" t="inlineStr">
        <is>
          <t>single</t>
        </is>
      </c>
      <c r="H42" s="7" t="inlineStr">
        <is>
          <t>Let the menu show the plate. Let your team host.</t>
        </is>
      </c>
      <c r="I42" s="6" t="n"/>
      <c r="J42" s="6" t="n"/>
      <c r="K42" s="6" t="n"/>
      <c r="L42" s="6" t="n"/>
      <c r="M42" s="6" t="n"/>
      <c r="N42" s="8">
        <f>IF(N(I42)=0,"",L42/I42*1000)</f>
        <v/>
      </c>
      <c r="O42" s="8">
        <f>IF(N(I42)=0,"",M42/I42*1000)</f>
        <v/>
      </c>
      <c r="P42" s="6" t="n"/>
    </row>
    <row r="43">
      <c r="A43" s="7" t="n">
        <v>42</v>
      </c>
      <c r="B43" s="10">
        <f>$B$2+57</f>
        <v/>
      </c>
      <c r="C43" s="7">
        <f>TEXT(B43,"ddd")</f>
        <v/>
      </c>
      <c r="D43" s="7" t="inlineStr">
        <is>
          <t>december-plans</t>
        </is>
      </c>
      <c r="E43" s="7" t="inlineStr">
        <is>
          <t>relatable</t>
        </is>
      </c>
      <c r="F43" s="7" t="inlineStr">
        <is>
          <t>diners</t>
        </is>
      </c>
      <c r="G43" s="7" t="inlineStr">
        <is>
          <t>single</t>
        </is>
      </c>
      <c r="H43" s="7" t="inlineStr">
        <is>
          <t>Cold nights. Long dinners.</t>
        </is>
      </c>
      <c r="I43" s="6" t="n"/>
      <c r="J43" s="6" t="n"/>
      <c r="K43" s="6" t="n"/>
      <c r="L43" s="6" t="n"/>
      <c r="M43" s="6" t="n"/>
      <c r="N43" s="8">
        <f>IF(N(I43)=0,"",L43/I43*1000)</f>
        <v/>
      </c>
      <c r="O43" s="8">
        <f>IF(N(I43)=0,"",M43/I43*1000)</f>
        <v/>
      </c>
      <c r="P43" s="6" t="n"/>
    </row>
    <row r="44">
      <c r="A44" s="7" t="n">
        <v>43</v>
      </c>
      <c r="B44" s="10">
        <f>$B$2+59</f>
        <v/>
      </c>
      <c r="C44" s="7">
        <f>TEXT(B44,"ddd")</f>
        <v/>
      </c>
      <c r="D44" s="7" t="inlineStr">
        <is>
          <t>guess-the-size</t>
        </is>
      </c>
      <c r="E44" s="7" t="inlineStr">
        <is>
          <t>menu-truth</t>
        </is>
      </c>
      <c r="F44" s="7" t="inlineStr">
        <is>
          <t>diners</t>
        </is>
      </c>
      <c r="G44" s="7" t="inlineStr">
        <is>
          <t>carousel</t>
        </is>
      </c>
      <c r="H44" s="7" t="inlineStr">
        <is>
          <t>For one, or for sharing?</t>
        </is>
      </c>
      <c r="I44" s="6" t="n"/>
      <c r="J44" s="6" t="n"/>
      <c r="K44" s="6" t="n"/>
      <c r="L44" s="6" t="n"/>
      <c r="M44" s="6" t="n"/>
      <c r="N44" s="8">
        <f>IF(N(I44)=0,"",L44/I44*1000)</f>
        <v/>
      </c>
      <c r="O44" s="8">
        <f>IF(N(I44)=0,"",M44/I44*1000)</f>
        <v/>
      </c>
      <c r="P44" s="6" t="n"/>
    </row>
    <row r="45">
      <c r="A45" s="7" t="n">
        <v>44</v>
      </c>
      <c r="B45" s="10">
        <f>$B$2+60</f>
        <v/>
      </c>
      <c r="C45" s="7">
        <f>TEXT(B45,"ddd")</f>
        <v/>
      </c>
      <c r="D45" s="7" t="inlineStr">
        <is>
          <t>the-indecisive</t>
        </is>
      </c>
      <c r="E45" s="7" t="inlineStr">
        <is>
          <t>relatable</t>
        </is>
      </c>
      <c r="F45" s="7" t="inlineStr">
        <is>
          <t>diners</t>
        </is>
      </c>
      <c r="G45" s="7" t="inlineStr">
        <is>
          <t>single</t>
        </is>
      </c>
      <c r="H45" s="7" t="inlineStr">
        <is>
          <t>Reads the menu twice. Orders last.</t>
        </is>
      </c>
      <c r="I45" s="6" t="n"/>
      <c r="J45" s="6" t="n"/>
      <c r="K45" s="6" t="n"/>
      <c r="L45" s="6" t="n"/>
      <c r="M45" s="6" t="n"/>
      <c r="N45" s="8">
        <f>IF(N(I45)=0,"",L45/I45*1000)</f>
        <v/>
      </c>
      <c r="O45" s="8">
        <f>IF(N(I45)=0,"",M45/I45*1000)</f>
        <v/>
      </c>
      <c r="P45" s="6" t="n"/>
    </row>
    <row r="46">
      <c r="A46" s="7" t="n">
        <v>45</v>
      </c>
      <c r="B46" s="10">
        <f>$B$2+61</f>
        <v/>
      </c>
      <c r="C46" s="7">
        <f>TEXT(B46,"ddd")</f>
        <v/>
      </c>
      <c r="D46" s="7" t="inlineStr">
        <is>
          <t>every-angle-sandwich</t>
        </is>
      </c>
      <c r="E46" s="7" t="inlineStr">
        <is>
          <t>see-it-first</t>
        </is>
      </c>
      <c r="F46" s="7" t="inlineStr">
        <is>
          <t>diners</t>
        </is>
      </c>
      <c r="G46" s="7" t="inlineStr">
        <is>
          <t>single</t>
        </is>
      </c>
      <c r="H46" s="7" t="inlineStr">
        <is>
          <t>You pick the angle.</t>
        </is>
      </c>
      <c r="I46" s="6" t="n"/>
      <c r="J46" s="6" t="n"/>
      <c r="K46" s="6" t="n"/>
      <c r="L46" s="6" t="n"/>
      <c r="M46" s="6" t="n"/>
      <c r="N46" s="8">
        <f>IF(N(I46)=0,"",L46/I46*1000)</f>
        <v/>
      </c>
      <c r="O46" s="8">
        <f>IF(N(I46)=0,"",M46/I46*1000)</f>
        <v/>
      </c>
      <c r="P46" s="6" t="n"/>
    </row>
    <row r="47">
      <c r="A47" s="7" t="n">
        <v>46</v>
      </c>
      <c r="B47" s="10">
        <f>$B$2+62</f>
        <v/>
      </c>
      <c r="C47" s="7">
        <f>TEXT(B47,"ddd")</f>
        <v/>
      </c>
      <c r="D47" s="7" t="inlineStr">
        <is>
          <t>owners-myths</t>
        </is>
      </c>
      <c r="E47" s="7" t="inlineStr">
        <is>
          <t>for-restaurants</t>
        </is>
      </c>
      <c r="F47" s="7" t="inlineStr">
        <is>
          <t>restaurants</t>
        </is>
      </c>
      <c r="G47" s="7" t="inlineStr">
        <is>
          <t>carousel</t>
        </is>
      </c>
      <c r="H47" s="7" t="inlineStr">
        <is>
          <t>Three myths about 3D menus.</t>
        </is>
      </c>
      <c r="I47" s="6" t="n"/>
      <c r="J47" s="6" t="n"/>
      <c r="K47" s="6" t="n"/>
      <c r="L47" s="6" t="n"/>
      <c r="M47" s="6" t="n"/>
      <c r="N47" s="8">
        <f>IF(N(I47)=0,"",L47/I47*1000)</f>
        <v/>
      </c>
      <c r="O47" s="8">
        <f>IF(N(I47)=0,"",M47/I47*1000)</f>
        <v/>
      </c>
      <c r="P47" s="6" t="n"/>
    </row>
    <row r="48">
      <c r="A48" s="7" t="n">
        <v>47</v>
      </c>
      <c r="B48" s="10">
        <f>$B$2+64</f>
        <v/>
      </c>
      <c r="C48" s="7">
        <f>TEXT(B48,"ddd")</f>
        <v/>
      </c>
      <c r="D48" s="7" t="inlineStr">
        <is>
          <t>order-regret</t>
        </is>
      </c>
      <c r="E48" s="7" t="inlineStr">
        <is>
          <t>relatable</t>
        </is>
      </c>
      <c r="F48" s="7" t="inlineStr">
        <is>
          <t>diners</t>
        </is>
      </c>
      <c r="G48" s="7" t="inlineStr">
        <is>
          <t>single</t>
        </is>
      </c>
      <c r="H48" s="7" t="inlineStr">
        <is>
          <t>When their plate arrives and it looks better than yours.</t>
        </is>
      </c>
      <c r="I48" s="6" t="n"/>
      <c r="J48" s="6" t="n"/>
      <c r="K48" s="6" t="n"/>
      <c r="L48" s="6" t="n"/>
      <c r="M48" s="6" t="n"/>
      <c r="N48" s="8">
        <f>IF(N(I48)=0,"",L48/I48*1000)</f>
        <v/>
      </c>
      <c r="O48" s="8">
        <f>IF(N(I48)=0,"",M48/I48*1000)</f>
        <v/>
      </c>
      <c r="P48" s="6" t="n"/>
    </row>
    <row r="49">
      <c r="A49" s="7" t="n">
        <v>48</v>
      </c>
      <c r="B49" s="10">
        <f>$B$2+66</f>
        <v/>
      </c>
      <c r="C49" s="7">
        <f>TEXT(B49,"ddd")</f>
        <v/>
      </c>
      <c r="D49" s="7" t="inlineStr">
        <is>
          <t>pick-one-round-3</t>
        </is>
      </c>
      <c r="E49" s="7" t="inlineStr">
        <is>
          <t>relatable</t>
        </is>
      </c>
      <c r="F49" s="7" t="inlineStr">
        <is>
          <t>diners</t>
        </is>
      </c>
      <c r="G49" s="7" t="inlineStr">
        <is>
          <t>single</t>
        </is>
      </c>
      <c r="H49" s="7" t="inlineStr">
        <is>
          <t>Cold night. Pick one.</t>
        </is>
      </c>
      <c r="I49" s="6" t="n"/>
      <c r="J49" s="6" t="n"/>
      <c r="K49" s="6" t="n"/>
      <c r="L49" s="6" t="n"/>
      <c r="M49" s="6" t="n"/>
      <c r="N49" s="8">
        <f>IF(N(I49)=0,"",L49/I49*1000)</f>
        <v/>
      </c>
      <c r="O49" s="8">
        <f>IF(N(I49)=0,"",M49/I49*1000)</f>
        <v/>
      </c>
      <c r="P49" s="6" t="n"/>
    </row>
    <row r="50">
      <c r="A50" s="7" t="n">
        <v>49</v>
      </c>
      <c r="B50" s="10">
        <f>$B$2+67</f>
        <v/>
      </c>
      <c r="C50" s="7">
        <f>TEXT(B50,"ddd")</f>
        <v/>
      </c>
      <c r="D50" s="7" t="inlineStr">
        <is>
          <t>in-app-browser-tip</t>
        </is>
      </c>
      <c r="E50" s="7" t="inlineStr">
        <is>
          <t>see-it-first</t>
        </is>
      </c>
      <c r="F50" s="7" t="inlineStr">
        <is>
          <t>diners</t>
        </is>
      </c>
      <c r="G50" s="7" t="inlineStr">
        <is>
          <t>single</t>
        </is>
      </c>
      <c r="H50" s="7" t="inlineStr">
        <is>
          <t>Open it in Safari or Chrome</t>
        </is>
      </c>
      <c r="I50" s="6" t="n"/>
      <c r="J50" s="6" t="n"/>
      <c r="K50" s="6" t="n"/>
      <c r="L50" s="6" t="n"/>
      <c r="M50" s="6" t="n"/>
      <c r="N50" s="8">
        <f>IF(N(I50)=0,"",L50/I50*1000)</f>
        <v/>
      </c>
      <c r="O50" s="8">
        <f>IF(N(I50)=0,"",M50/I50*1000)</f>
        <v/>
      </c>
      <c r="P50" s="6" t="n"/>
    </row>
    <row r="51">
      <c r="A51" s="7" t="n">
        <v>50</v>
      </c>
      <c r="B51" s="10">
        <f>$B$2+68</f>
        <v/>
      </c>
      <c r="C51" s="7">
        <f>TEXT(B51,"ddd")</f>
        <v/>
      </c>
      <c r="D51" s="7" t="inlineStr">
        <is>
          <t>the-food-critic</t>
        </is>
      </c>
      <c r="E51" s="7" t="inlineStr">
        <is>
          <t>relatable</t>
        </is>
      </c>
      <c r="F51" s="7" t="inlineStr">
        <is>
          <t>diners</t>
        </is>
      </c>
      <c r="G51" s="7" t="inlineStr">
        <is>
          <t>single</t>
        </is>
      </c>
      <c r="H51" s="7" t="inlineStr">
        <is>
          <t>The food critic.</t>
        </is>
      </c>
      <c r="I51" s="6" t="n"/>
      <c r="J51" s="6" t="n"/>
      <c r="K51" s="6" t="n"/>
      <c r="L51" s="6" t="n"/>
      <c r="M51" s="6" t="n"/>
      <c r="N51" s="8">
        <f>IF(N(I51)=0,"",L51/I51*1000)</f>
        <v/>
      </c>
      <c r="O51" s="8">
        <f>IF(N(I51)=0,"",M51/I51*1000)</f>
        <v/>
      </c>
      <c r="P51" s="6" t="n"/>
    </row>
    <row r="52">
      <c r="A52" s="7" t="n">
        <v>51</v>
      </c>
      <c r="B52" s="10">
        <f>$B$2+69</f>
        <v/>
      </c>
      <c r="C52" s="7">
        <f>TEXT(B52,"ddd")</f>
        <v/>
      </c>
      <c r="D52" s="7" t="inlineStr">
        <is>
          <t>owners-numbers-you-get</t>
        </is>
      </c>
      <c r="E52" s="7" t="inlineStr">
        <is>
          <t>for-restaurants</t>
        </is>
      </c>
      <c r="F52" s="7" t="inlineStr">
        <is>
          <t>restaurants</t>
        </is>
      </c>
      <c r="G52" s="7" t="inlineStr">
        <is>
          <t>single</t>
        </is>
      </c>
      <c r="H52" s="7" t="inlineStr">
        <is>
          <t>What you see during the pilot</t>
        </is>
      </c>
      <c r="I52" s="6" t="n"/>
      <c r="J52" s="6" t="n"/>
      <c r="K52" s="6" t="n"/>
      <c r="L52" s="6" t="n"/>
      <c r="M52" s="6" t="n"/>
      <c r="N52" s="8">
        <f>IF(N(I52)=0,"",L52/I52*1000)</f>
        <v/>
      </c>
      <c r="O52" s="8">
        <f>IF(N(I52)=0,"",M52/I52*1000)</f>
        <v/>
      </c>
      <c r="P52" s="6" t="n"/>
    </row>
    <row r="53">
      <c r="A53" s="7" t="n">
        <v>52</v>
      </c>
      <c r="B53" s="10">
        <f>$B$2+71</f>
        <v/>
      </c>
      <c r="C53" s="7">
        <f>TEXT(B53,"ddd")</f>
        <v/>
      </c>
      <c r="D53" s="7" t="inlineStr">
        <is>
          <t>winter-break</t>
        </is>
      </c>
      <c r="E53" s="7" t="inlineStr">
        <is>
          <t>relatable</t>
        </is>
      </c>
      <c r="F53" s="7" t="inlineStr">
        <is>
          <t>diners</t>
        </is>
      </c>
      <c r="G53" s="7" t="inlineStr">
        <is>
          <t>single</t>
        </is>
      </c>
      <c r="H53" s="7" t="inlineStr">
        <is>
          <t>Dinner for two became dinner for twelve.</t>
        </is>
      </c>
      <c r="I53" s="6" t="n"/>
      <c r="J53" s="6" t="n"/>
      <c r="K53" s="6" t="n"/>
      <c r="L53" s="6" t="n"/>
      <c r="M53" s="6" t="n"/>
      <c r="N53" s="8">
        <f>IF(N(I53)=0,"",L53/I53*1000)</f>
        <v/>
      </c>
      <c r="O53" s="8">
        <f>IF(N(I53)=0,"",M53/I53*1000)</f>
        <v/>
      </c>
      <c r="P53" s="6" t="n"/>
    </row>
    <row r="54">
      <c r="A54" s="7" t="n">
        <v>53</v>
      </c>
      <c r="B54" s="10">
        <f>$B$2+73</f>
        <v/>
      </c>
      <c r="C54" s="7">
        <f>TEXT(B54,"ddd")</f>
        <v/>
      </c>
      <c r="D54" s="7" t="inlineStr">
        <is>
          <t>closeup-trio</t>
        </is>
      </c>
      <c r="E54" s="7" t="inlineStr">
        <is>
          <t>see-it-first</t>
        </is>
      </c>
      <c r="F54" s="7" t="inlineStr">
        <is>
          <t>diners</t>
        </is>
      </c>
      <c r="G54" s="7" t="inlineStr">
        <is>
          <t>single</t>
        </is>
      </c>
      <c r="H54" s="7" t="inlineStr">
        <is>
          <t>Nothing added. Nothing painted on.</t>
        </is>
      </c>
      <c r="I54" s="6" t="n"/>
      <c r="J54" s="6" t="n"/>
      <c r="K54" s="6" t="n"/>
      <c r="L54" s="6" t="n"/>
      <c r="M54" s="6" t="n"/>
      <c r="N54" s="8">
        <f>IF(N(I54)=0,"",L54/I54*1000)</f>
        <v/>
      </c>
      <c r="O54" s="8">
        <f>IF(N(I54)=0,"",M54/I54*1000)</f>
        <v/>
      </c>
      <c r="P54" s="6" t="n"/>
    </row>
    <row r="55">
      <c r="A55" s="7" t="n">
        <v>54</v>
      </c>
      <c r="B55" s="10">
        <f>$B$2+74</f>
        <v/>
      </c>
      <c r="C55" s="7">
        <f>TEXT(B55,"ddd")</f>
        <v/>
      </c>
      <c r="D55" s="7" t="inlineStr">
        <is>
          <t>the-portion-question</t>
        </is>
      </c>
      <c r="E55" s="7" t="inlineStr">
        <is>
          <t>menu-truth</t>
        </is>
      </c>
      <c r="F55" s="7" t="inlineStr">
        <is>
          <t>diners</t>
        </is>
      </c>
      <c r="G55" s="7" t="inlineStr">
        <is>
          <t>single</t>
        </is>
      </c>
      <c r="H55" s="7" t="inlineStr">
        <is>
          <t>Is this enough for two?</t>
        </is>
      </c>
      <c r="I55" s="6" t="n"/>
      <c r="J55" s="6" t="n"/>
      <c r="K55" s="6" t="n"/>
      <c r="L55" s="6" t="n"/>
      <c r="M55" s="6" t="n"/>
      <c r="N55" s="8">
        <f>IF(N(I55)=0,"",L55/I55*1000)</f>
        <v/>
      </c>
      <c r="O55" s="8">
        <f>IF(N(I55)=0,"",M55/I55*1000)</f>
        <v/>
      </c>
      <c r="P55" s="6" t="n"/>
    </row>
    <row r="56">
      <c r="A56" s="7" t="n">
        <v>55</v>
      </c>
      <c r="B56" s="10">
        <f>$B$2+75</f>
        <v/>
      </c>
      <c r="C56" s="7">
        <f>TEXT(B56,"ddd")</f>
        <v/>
      </c>
      <c r="D56" s="7" t="inlineStr">
        <is>
          <t>save-this-checklist</t>
        </is>
      </c>
      <c r="E56" s="7" t="inlineStr">
        <is>
          <t>menu-truth</t>
        </is>
      </c>
      <c r="F56" s="7" t="inlineStr">
        <is>
          <t>diners</t>
        </is>
      </c>
      <c r="G56" s="7" t="inlineStr">
        <is>
          <t>single</t>
        </is>
      </c>
      <c r="H56" s="7" t="inlineStr">
        <is>
          <t>Trying a new place? Checklist.</t>
        </is>
      </c>
      <c r="I56" s="6" t="n"/>
      <c r="J56" s="6" t="n"/>
      <c r="K56" s="6" t="n"/>
      <c r="L56" s="6" t="n"/>
      <c r="M56" s="6" t="n"/>
      <c r="N56" s="8">
        <f>IF(N(I56)=0,"",L56/I56*1000)</f>
        <v/>
      </c>
      <c r="O56" s="8">
        <f>IF(N(I56)=0,"",M56/I56*1000)</f>
        <v/>
      </c>
      <c r="P56" s="6" t="n"/>
    </row>
    <row r="57">
      <c r="A57" s="7" t="n">
        <v>56</v>
      </c>
      <c r="B57" s="10">
        <f>$B$2+76</f>
        <v/>
      </c>
      <c r="C57" s="7">
        <f>TEXT(B57,"ddd")</f>
        <v/>
      </c>
      <c r="D57" s="7" t="inlineStr">
        <is>
          <t>owners-first-impression</t>
        </is>
      </c>
      <c r="E57" s="7" t="inlineStr">
        <is>
          <t>for-restaurants</t>
        </is>
      </c>
      <c r="F57" s="7" t="inlineStr">
        <is>
          <t>restaurants</t>
        </is>
      </c>
      <c r="G57" s="7" t="inlineStr">
        <is>
          <t>single</t>
        </is>
      </c>
      <c r="H57" s="7" t="inlineStr">
        <is>
          <t>First impressions happen before the plate arrives.</t>
        </is>
      </c>
      <c r="I57" s="6" t="n"/>
      <c r="J57" s="6" t="n"/>
      <c r="K57" s="6" t="n"/>
      <c r="L57" s="6" t="n"/>
      <c r="M57" s="6" t="n"/>
      <c r="N57" s="8">
        <f>IF(N(I57)=0,"",L57/I57*1000)</f>
        <v/>
      </c>
      <c r="O57" s="8">
        <f>IF(N(I57)=0,"",M57/I57*1000)</f>
        <v/>
      </c>
      <c r="P57" s="6" t="n"/>
    </row>
    <row r="58">
      <c r="A58" s="7" t="n">
        <v>57</v>
      </c>
      <c r="B58" s="10">
        <f>$B$2+78</f>
        <v/>
      </c>
      <c r="C58" s="7">
        <f>TEXT(B58,"ddd")</f>
        <v/>
      </c>
      <c r="D58" s="7" t="inlineStr">
        <is>
          <t>founder-note</t>
        </is>
      </c>
      <c r="E58" s="7" t="inlineStr">
        <is>
          <t>behind-the-scan</t>
        </is>
      </c>
      <c r="F58" s="7" t="inlineStr">
        <is>
          <t>both</t>
        </is>
      </c>
      <c r="G58" s="7" t="inlineStr">
        <is>
          <t>single</t>
        </is>
      </c>
      <c r="H58" s="7" t="inlineStr">
        <is>
          <t>We built MENVA because we kept ordering the wrong thing.</t>
        </is>
      </c>
      <c r="I58" s="6" t="n"/>
      <c r="J58" s="6" t="n"/>
      <c r="K58" s="6" t="n"/>
      <c r="L58" s="6" t="n"/>
      <c r="M58" s="6" t="n"/>
      <c r="N58" s="8">
        <f>IF(N(I58)=0,"",L58/I58*1000)</f>
        <v/>
      </c>
      <c r="O58" s="8">
        <f>IF(N(I58)=0,"",M58/I58*1000)</f>
        <v/>
      </c>
      <c r="P58" s="6" t="n"/>
    </row>
    <row r="59">
      <c r="A59" s="7" t="n">
        <v>58</v>
      </c>
      <c r="B59" s="10">
        <f>$B$2+80</f>
        <v/>
      </c>
      <c r="C59" s="7">
        <f>TEXT(B59,"ddd")</f>
        <v/>
      </c>
      <c r="D59" s="7" t="inlineStr">
        <is>
          <t>year-end-dinner</t>
        </is>
      </c>
      <c r="E59" s="7" t="inlineStr">
        <is>
          <t>relatable</t>
        </is>
      </c>
      <c r="F59" s="7" t="inlineStr">
        <is>
          <t>diners</t>
        </is>
      </c>
      <c r="G59" s="7" t="inlineStr">
        <is>
          <t>single</t>
        </is>
      </c>
      <c r="H59" s="7" t="inlineStr">
        <is>
          <t>Order once. Order right.</t>
        </is>
      </c>
      <c r="I59" s="6" t="n"/>
      <c r="J59" s="6" t="n"/>
      <c r="K59" s="6" t="n"/>
      <c r="L59" s="6" t="n"/>
      <c r="M59" s="6" t="n"/>
      <c r="N59" s="8">
        <f>IF(N(I59)=0,"",L59/I59*1000)</f>
        <v/>
      </c>
      <c r="O59" s="8">
        <f>IF(N(I59)=0,"",M59/I59*1000)</f>
        <v/>
      </c>
      <c r="P59" s="6" t="n"/>
    </row>
    <row r="60">
      <c r="A60" s="7" t="n">
        <v>59</v>
      </c>
      <c r="B60" s="10">
        <f>$B$2+81</f>
        <v/>
      </c>
      <c r="C60" s="7">
        <f>TEXT(B60,"ddd")</f>
        <v/>
      </c>
      <c r="D60" s="7" t="inlineStr">
        <is>
          <t>quaid-day</t>
        </is>
      </c>
      <c r="E60" s="7" t="inlineStr">
        <is>
          <t>relatable</t>
        </is>
      </c>
      <c r="F60" s="7" t="inlineStr">
        <is>
          <t>diners</t>
        </is>
      </c>
      <c r="G60" s="7" t="inlineStr">
        <is>
          <t>single</t>
        </is>
      </c>
      <c r="H60" s="7" t="inlineStr">
        <is>
          <t>Holiday. Friends free. Where are we eating?</t>
        </is>
      </c>
      <c r="I60" s="6" t="n"/>
      <c r="J60" s="6" t="n"/>
      <c r="K60" s="6" t="n"/>
      <c r="L60" s="6" t="n"/>
      <c r="M60" s="6" t="n"/>
      <c r="N60" s="8">
        <f>IF(N(I60)=0,"",L60/I60*1000)</f>
        <v/>
      </c>
      <c r="O60" s="8">
        <f>IF(N(I60)=0,"",M60/I60*1000)</f>
        <v/>
      </c>
      <c r="P60" s="6" t="n"/>
    </row>
    <row r="61">
      <c r="A61" s="7" t="n">
        <v>60</v>
      </c>
      <c r="B61" s="10">
        <f>$B$2+82</f>
        <v/>
      </c>
      <c r="C61" s="7">
        <f>TEXT(B61,"ddd")</f>
        <v/>
      </c>
      <c r="D61" s="7" t="inlineStr">
        <is>
          <t>the-2026-menu-awards</t>
        </is>
      </c>
      <c r="E61" s="7" t="inlineStr">
        <is>
          <t>relatable</t>
        </is>
      </c>
      <c r="F61" s="7" t="inlineStr">
        <is>
          <t>diners</t>
        </is>
      </c>
      <c r="G61" s="7" t="inlineStr">
        <is>
          <t>carousel</t>
        </is>
      </c>
      <c r="H61" s="7" t="inlineStr">
        <is>
          <t>The unofficial menu awards.</t>
        </is>
      </c>
      <c r="I61" s="6" t="n"/>
      <c r="J61" s="6" t="n"/>
      <c r="K61" s="6" t="n"/>
      <c r="L61" s="6" t="n"/>
      <c r="M61" s="6" t="n"/>
      <c r="N61" s="8">
        <f>IF(N(I61)=0,"",L61/I61*1000)</f>
        <v/>
      </c>
      <c r="O61" s="8">
        <f>IF(N(I61)=0,"",M61/I61*1000)</f>
        <v/>
      </c>
      <c r="P61" s="6" t="n"/>
    </row>
    <row r="62">
      <c r="A62" s="7" t="n">
        <v>61</v>
      </c>
      <c r="B62" s="10">
        <f>$B$2+83</f>
        <v/>
      </c>
      <c r="C62" s="7">
        <f>TEXT(B62,"ddd")</f>
        <v/>
      </c>
      <c r="D62" s="7" t="inlineStr">
        <is>
          <t>owners-new-year-menu</t>
        </is>
      </c>
      <c r="E62" s="7" t="inlineStr">
        <is>
          <t>for-restaurants</t>
        </is>
      </c>
      <c r="F62" s="7" t="inlineStr">
        <is>
          <t>restaurants</t>
        </is>
      </c>
      <c r="G62" s="7" t="inlineStr">
        <is>
          <t>single</t>
        </is>
      </c>
      <c r="H62" s="7" t="inlineStr">
        <is>
          <t>New menu for 2027? Let guests see it.</t>
        </is>
      </c>
      <c r="I62" s="6" t="n"/>
      <c r="J62" s="6" t="n"/>
      <c r="K62" s="6" t="n"/>
      <c r="L62" s="6" t="n"/>
      <c r="M62" s="6" t="n"/>
      <c r="N62" s="8">
        <f>IF(N(I62)=0,"",L62/I62*1000)</f>
        <v/>
      </c>
      <c r="O62" s="8">
        <f>IF(N(I62)=0,"",M62/I62*1000)</f>
        <v/>
      </c>
      <c r="P62" s="6" t="n"/>
    </row>
    <row r="63">
      <c r="A63" s="7" t="n">
        <v>62</v>
      </c>
      <c r="B63" s="10">
        <f>$B$2+85</f>
        <v/>
      </c>
      <c r="C63" s="7">
        <f>TEXT(B63,"ddd")</f>
        <v/>
      </c>
      <c r="D63" s="7" t="inlineStr">
        <is>
          <t>year-in-four-plates</t>
        </is>
      </c>
      <c r="E63" s="7" t="inlineStr">
        <is>
          <t>see-it-first</t>
        </is>
      </c>
      <c r="F63" s="7" t="inlineStr">
        <is>
          <t>diners</t>
        </is>
      </c>
      <c r="G63" s="7" t="inlineStr">
        <is>
          <t>carousel</t>
        </is>
      </c>
      <c r="H63" s="7" t="inlineStr">
        <is>
          <t>The year in four plates.</t>
        </is>
      </c>
      <c r="I63" s="6" t="n"/>
      <c r="J63" s="6" t="n"/>
      <c r="K63" s="6" t="n"/>
      <c r="L63" s="6" t="n"/>
      <c r="M63" s="6" t="n"/>
      <c r="N63" s="8">
        <f>IF(N(I63)=0,"",L63/I63*1000)</f>
        <v/>
      </c>
      <c r="O63" s="8">
        <f>IF(N(I63)=0,"",M63/I63*1000)</f>
        <v/>
      </c>
      <c r="P63" s="6" t="n"/>
    </row>
    <row r="64">
      <c r="A64" s="7" t="n">
        <v>63</v>
      </c>
      <c r="B64" s="10">
        <f>$B$2+87</f>
        <v/>
      </c>
      <c r="C64" s="7">
        <f>TEXT(B64,"ddd")</f>
        <v/>
      </c>
      <c r="D64" s="7" t="inlineStr">
        <is>
          <t>new-years-eve</t>
        </is>
      </c>
      <c r="E64" s="7" t="inlineStr">
        <is>
          <t>relatable</t>
        </is>
      </c>
      <c r="F64" s="7" t="inlineStr">
        <is>
          <t>diners</t>
        </is>
      </c>
      <c r="G64" s="7" t="inlineStr">
        <is>
          <t>single</t>
        </is>
      </c>
      <c r="H64" s="7" t="inlineStr">
        <is>
          <t>Last dinner of the year. Make it count.</t>
        </is>
      </c>
      <c r="I64" s="6" t="n"/>
      <c r="J64" s="6" t="n"/>
      <c r="K64" s="6" t="n"/>
      <c r="L64" s="6" t="n"/>
      <c r="M64" s="6" t="n"/>
      <c r="N64" s="8">
        <f>IF(N(I64)=0,"",L64/I64*1000)</f>
        <v/>
      </c>
      <c r="O64" s="8">
        <f>IF(N(I64)=0,"",M64/I64*1000)</f>
        <v/>
      </c>
      <c r="P64" s="6" t="n"/>
    </row>
    <row r="65">
      <c r="A65" s="7" t="n">
        <v>64</v>
      </c>
      <c r="B65" s="10">
        <f>$B$2+88</f>
        <v/>
      </c>
      <c r="C65" s="7">
        <f>TEXT(B65,"ddd")</f>
        <v/>
      </c>
      <c r="D65" s="7" t="inlineStr">
        <is>
          <t>new-year-resolution</t>
        </is>
      </c>
      <c r="E65" s="7" t="inlineStr">
        <is>
          <t>relatable</t>
        </is>
      </c>
      <c r="F65" s="7" t="inlineStr">
        <is>
          <t>diners</t>
        </is>
      </c>
      <c r="G65" s="7" t="inlineStr">
        <is>
          <t>single</t>
        </is>
      </c>
      <c r="H65" s="7" t="inlineStr">
        <is>
          <t>Resolution: one new dish every month.</t>
        </is>
      </c>
      <c r="I65" s="6" t="n"/>
      <c r="J65" s="6" t="n"/>
      <c r="K65" s="6" t="n"/>
      <c r="L65" s="6" t="n"/>
      <c r="M65" s="6" t="n"/>
      <c r="N65" s="8">
        <f>IF(N(I65)=0,"",L65/I65*1000)</f>
        <v/>
      </c>
      <c r="O65" s="8">
        <f>IF(N(I65)=0,"",M65/I65*1000)</f>
        <v/>
      </c>
      <c r="P65" s="6" t="n"/>
    </row>
    <row r="66">
      <c r="A66" s="7" t="n">
        <v>65</v>
      </c>
      <c r="B66" s="10">
        <f>$B$2+89</f>
        <v/>
      </c>
      <c r="C66" s="7">
        <f>TEXT(B66,"ddd")</f>
        <v/>
      </c>
      <c r="D66" s="7" t="inlineStr">
        <is>
          <t>resolution-starter</t>
        </is>
      </c>
      <c r="E66" s="7" t="inlineStr">
        <is>
          <t>see-it-first</t>
        </is>
      </c>
      <c r="F66" s="7" t="inlineStr">
        <is>
          <t>diners</t>
        </is>
      </c>
      <c r="G66" s="7" t="inlineStr">
        <is>
          <t>single</t>
        </is>
      </c>
      <c r="H66" s="7" t="inlineStr">
        <is>
          <t>New dish no. 1</t>
        </is>
      </c>
      <c r="I66" s="6" t="n"/>
      <c r="J66" s="6" t="n"/>
      <c r="K66" s="6" t="n"/>
      <c r="L66" s="6" t="n"/>
      <c r="M66" s="6" t="n"/>
      <c r="N66" s="8">
        <f>IF(N(I66)=0,"",L66/I66*1000)</f>
        <v/>
      </c>
      <c r="O66" s="8">
        <f>IF(N(I66)=0,"",M66/I66*1000)</f>
        <v/>
      </c>
      <c r="P66" s="6" t="n"/>
    </row>
    <row r="67">
      <c r="A67" s="7" t="n">
        <v>66</v>
      </c>
      <c r="B67" s="10">
        <f>$B$2+90</f>
        <v/>
      </c>
      <c r="C67" s="7">
        <f>TEXT(B67,"ddd")</f>
        <v/>
      </c>
      <c r="D67" s="7" t="inlineStr">
        <is>
          <t>owners-january</t>
        </is>
      </c>
      <c r="E67" s="7" t="inlineStr">
        <is>
          <t>for-restaurants</t>
        </is>
      </c>
      <c r="F67" s="7" t="inlineStr">
        <is>
          <t>restaurants</t>
        </is>
      </c>
      <c r="G67" s="7" t="inlineStr">
        <is>
          <t>carousel</t>
        </is>
      </c>
      <c r="H67" s="7" t="inlineStr">
        <is>
          <t>January is when guests try new places.</t>
        </is>
      </c>
      <c r="I67" s="6" t="n"/>
      <c r="J67" s="6" t="n"/>
      <c r="K67" s="6" t="n"/>
      <c r="L67" s="6" t="n"/>
      <c r="M67" s="6" t="n"/>
      <c r="N67" s="8">
        <f>IF(N(I67)=0,"",L67/I67*1000)</f>
        <v/>
      </c>
      <c r="O67" s="8">
        <f>IF(N(I67)=0,"",M67/I67*1000)</f>
        <v/>
      </c>
      <c r="P67" s="6" t="n"/>
    </row>
    <row r="68">
      <c r="A68" s="7" t="n">
        <v>67</v>
      </c>
      <c r="B68" s="10">
        <f>$B$2+92</f>
        <v/>
      </c>
      <c r="C68" s="7">
        <f>TEXT(B68,"ddd")</f>
        <v/>
      </c>
      <c r="D68" s="7" t="inlineStr">
        <is>
          <t>the-returner</t>
        </is>
      </c>
      <c r="E68" s="7" t="inlineStr">
        <is>
          <t>relatable</t>
        </is>
      </c>
      <c r="F68" s="7" t="inlineStr">
        <is>
          <t>diners</t>
        </is>
      </c>
      <c r="G68" s="7" t="inlineStr">
        <is>
          <t>single</t>
        </is>
      </c>
      <c r="H68" s="7" t="inlineStr">
        <is>
          <t>"Excuse me, yeh wo nahi hai."</t>
        </is>
      </c>
      <c r="I68" s="6" t="n"/>
      <c r="J68" s="6" t="n"/>
      <c r="K68" s="6" t="n"/>
      <c r="L68" s="6" t="n"/>
      <c r="M68" s="6" t="n"/>
      <c r="N68" s="8">
        <f>IF(N(I68)=0,"",L68/I68*1000)</f>
        <v/>
      </c>
      <c r="O68" s="8">
        <f>IF(N(I68)=0,"",M68/I68*1000)</f>
        <v/>
      </c>
      <c r="P68" s="6" t="n"/>
    </row>
    <row r="69">
      <c r="A69" s="7" t="n">
        <v>68</v>
      </c>
      <c r="B69" s="10">
        <f>$B$2+94</f>
        <v/>
      </c>
      <c r="C69" s="7">
        <f>TEXT(B69,"ddd")</f>
        <v/>
      </c>
      <c r="D69" s="7" t="inlineStr">
        <is>
          <t>side-by-side-board</t>
        </is>
      </c>
      <c r="E69" s="7" t="inlineStr">
        <is>
          <t>menu-truth</t>
        </is>
      </c>
      <c r="F69" s="7" t="inlineStr">
        <is>
          <t>diners</t>
        </is>
      </c>
      <c r="G69" s="7" t="inlineStr">
        <is>
          <t>single</t>
        </is>
      </c>
      <c r="H69" s="7" t="inlineStr">
        <is>
          <t>Tell me, or show me?</t>
        </is>
      </c>
      <c r="I69" s="6" t="n"/>
      <c r="J69" s="6" t="n"/>
      <c r="K69" s="6" t="n"/>
      <c r="L69" s="6" t="n"/>
      <c r="M69" s="6" t="n"/>
      <c r="N69" s="8">
        <f>IF(N(I69)=0,"",L69/I69*1000)</f>
        <v/>
      </c>
      <c r="O69" s="8">
        <f>IF(N(I69)=0,"",M69/I69*1000)</f>
        <v/>
      </c>
      <c r="P69" s="6" t="n"/>
    </row>
    <row r="70">
      <c r="A70" s="7" t="n">
        <v>69</v>
      </c>
      <c r="B70" s="10">
        <f>$B$2+95</f>
        <v/>
      </c>
      <c r="C70" s="7">
        <f>TEXT(B70,"ddd")</f>
        <v/>
      </c>
      <c r="D70" s="7" t="inlineStr">
        <is>
          <t>what-to-order-first-date</t>
        </is>
      </c>
      <c r="E70" s="7" t="inlineStr">
        <is>
          <t>relatable</t>
        </is>
      </c>
      <c r="F70" s="7" t="inlineStr">
        <is>
          <t>diners</t>
        </is>
      </c>
      <c r="G70" s="7" t="inlineStr">
        <is>
          <t>carousel</t>
        </is>
      </c>
      <c r="H70" s="7" t="inlineStr">
        <is>
          <t>What to order, ranked by how graceful you'll look.</t>
        </is>
      </c>
      <c r="I70" s="6" t="n"/>
      <c r="J70" s="6" t="n"/>
      <c r="K70" s="6" t="n"/>
      <c r="L70" s="6" t="n"/>
      <c r="M70" s="6" t="n"/>
      <c r="N70" s="8">
        <f>IF(N(I70)=0,"",L70/I70*1000)</f>
        <v/>
      </c>
      <c r="O70" s="8">
        <f>IF(N(I70)=0,"",M70/I70*1000)</f>
        <v/>
      </c>
      <c r="P70" s="6" t="n"/>
    </row>
    <row r="71">
      <c r="A71" s="7" t="n">
        <v>70</v>
      </c>
      <c r="B71" s="10">
        <f>$B$2+96</f>
        <v/>
      </c>
      <c r="C71" s="7">
        <f>TEXT(B71,"ddd")</f>
        <v/>
      </c>
      <c r="D71" s="7" t="inlineStr">
        <is>
          <t>comment-your-city-spot</t>
        </is>
      </c>
      <c r="E71" s="7" t="inlineStr">
        <is>
          <t>relatable</t>
        </is>
      </c>
      <c r="F71" s="7" t="inlineStr">
        <is>
          <t>diners</t>
        </is>
      </c>
      <c r="G71" s="7" t="inlineStr">
        <is>
          <t>single</t>
        </is>
      </c>
      <c r="H71" s="7" t="inlineStr">
        <is>
          <t>Which Lahore restaurant should we scan next?</t>
        </is>
      </c>
      <c r="I71" s="6" t="n"/>
      <c r="J71" s="6" t="n"/>
      <c r="K71" s="6" t="n"/>
      <c r="L71" s="6" t="n"/>
      <c r="M71" s="6" t="n"/>
      <c r="N71" s="8">
        <f>IF(N(I71)=0,"",L71/I71*1000)</f>
        <v/>
      </c>
      <c r="O71" s="8">
        <f>IF(N(I71)=0,"",M71/I71*1000)</f>
        <v/>
      </c>
      <c r="P71" s="6" t="n"/>
    </row>
    <row r="72">
      <c r="A72" s="7" t="n">
        <v>71</v>
      </c>
      <c r="B72" s="10">
        <f>$B$2+97</f>
        <v/>
      </c>
      <c r="C72" s="7">
        <f>TEXT(B72,"ddd")</f>
        <v/>
      </c>
      <c r="D72" s="7" t="inlineStr">
        <is>
          <t>owners-tagged</t>
        </is>
      </c>
      <c r="E72" s="7" t="inlineStr">
        <is>
          <t>for-restaurants</t>
        </is>
      </c>
      <c r="F72" s="7" t="inlineStr">
        <is>
          <t>restaurants</t>
        </is>
      </c>
      <c r="G72" s="7" t="inlineStr">
        <is>
          <t>single</t>
        </is>
      </c>
      <c r="H72" s="7" t="inlineStr">
        <is>
          <t>Your guests are asking.</t>
        </is>
      </c>
      <c r="I72" s="6" t="n"/>
      <c r="J72" s="6" t="n"/>
      <c r="K72" s="6" t="n"/>
      <c r="L72" s="6" t="n"/>
      <c r="M72" s="6" t="n"/>
      <c r="N72" s="8">
        <f>IF(N(I72)=0,"",L72/I72*1000)</f>
        <v/>
      </c>
      <c r="O72" s="8">
        <f>IF(N(I72)=0,"",M72/I72*1000)</f>
        <v/>
      </c>
      <c r="P72" s="6" t="n"/>
    </row>
    <row r="73">
      <c r="A73" s="7" t="n">
        <v>72</v>
      </c>
      <c r="B73" s="10">
        <f>$B$2+99</f>
        <v/>
      </c>
      <c r="C73" s="7">
        <f>TEXT(B73,"ddd")</f>
        <v/>
      </c>
      <c r="D73" s="7" t="inlineStr">
        <is>
          <t>day-100</t>
        </is>
      </c>
      <c r="E73" s="7" t="inlineStr">
        <is>
          <t>behind-the-scan</t>
        </is>
      </c>
      <c r="F73" s="7" t="inlineStr">
        <is>
          <t>both</t>
        </is>
      </c>
      <c r="G73" s="7" t="inlineStr">
        <is>
          <t>carousel</t>
        </is>
      </c>
      <c r="H73" s="7" t="inlineStr">
        <is>
          <t>100 days.</t>
        </is>
      </c>
      <c r="I73" s="6" t="n"/>
      <c r="J73" s="6" t="n"/>
      <c r="K73" s="6" t="n"/>
      <c r="L73" s="6" t="n"/>
      <c r="M73" s="6" t="n"/>
      <c r="N73" s="8">
        <f>IF(N(I73)=0,"",L73/I73*1000)</f>
        <v/>
      </c>
      <c r="O73" s="8">
        <f>IF(N(I73)=0,"",M73/I73*1000)</f>
        <v/>
      </c>
      <c r="P73" s="6" t="n"/>
    </row>
  </sheetData>
  <autoFilter ref="A1:P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20" customWidth="1" min="4" max="4"/>
    <col width="20" customWidth="1" min="5" max="5"/>
    <col width="30" customWidth="1" min="6" max="6"/>
  </cols>
  <sheetData>
    <row r="1" ht="32" customHeight="1">
      <c r="A1" s="4" t="inlineStr">
        <is>
          <t>Pillar</t>
        </is>
      </c>
      <c r="B1" s="4" t="inlineStr">
        <is>
          <t>Posts planned</t>
        </is>
      </c>
      <c r="C1" s="4" t="inlineStr">
        <is>
          <t>Posts with data</t>
        </is>
      </c>
      <c r="D1" s="4" t="inlineStr">
        <is>
          <t>Avg sends per 1k reach</t>
        </is>
      </c>
      <c r="E1" s="4" t="inlineStr">
        <is>
          <t>Avg saves per 1k reach</t>
        </is>
      </c>
      <c r="F1" s="4" t="inlineStr">
        <is>
          <t>Total "PILOT" leads (from Weekly KPIs)</t>
        </is>
      </c>
    </row>
    <row r="2">
      <c r="A2" s="7" t="inlineStr">
        <is>
          <t>behind-the-scan</t>
        </is>
      </c>
      <c r="B2" s="7">
        <f>COUNTIF('Content log'!$E$2:$E$73,A2)</f>
        <v/>
      </c>
      <c r="C2" s="7">
        <f>COUNTIFS('Content log'!$E$2:$E$73,A2,'Content log'!$I$2:$I$73,"&gt;0")</f>
        <v/>
      </c>
      <c r="D2" s="8">
        <f>IF(C2=0,"",AVERAGEIFS('Content log'!$N$2:$N$73,'Content log'!$E$2:$E$73,A2,'Content log'!$I$2:$I$73,"&gt;0"))</f>
        <v/>
      </c>
      <c r="E2" s="8">
        <f>IF(C2=0,"",AVERAGEIFS('Content log'!$O$2:$O$73,'Content log'!$E$2:$E$73,A2,'Content log'!$I$2:$I$73,"&gt;0"))</f>
        <v/>
      </c>
      <c r="F2" s="7" t="n"/>
    </row>
    <row r="3">
      <c r="A3" s="7" t="inlineStr">
        <is>
          <t>for-restaurants</t>
        </is>
      </c>
      <c r="B3" s="7">
        <f>COUNTIF('Content log'!$E$2:$E$73,A3)</f>
        <v/>
      </c>
      <c r="C3" s="7">
        <f>COUNTIFS('Content log'!$E$2:$E$73,A3,'Content log'!$I$2:$I$73,"&gt;0")</f>
        <v/>
      </c>
      <c r="D3" s="8">
        <f>IF(C3=0,"",AVERAGEIFS('Content log'!$N$2:$N$73,'Content log'!$E$2:$E$73,A3,'Content log'!$I$2:$I$73,"&gt;0"))</f>
        <v/>
      </c>
      <c r="E3" s="8">
        <f>IF(C3=0,"",AVERAGEIFS('Content log'!$O$2:$O$73,'Content log'!$E$2:$E$73,A3,'Content log'!$I$2:$I$73,"&gt;0"))</f>
        <v/>
      </c>
      <c r="F3" s="7" t="n"/>
    </row>
    <row r="4">
      <c r="A4" s="7" t="inlineStr">
        <is>
          <t>menu-truth</t>
        </is>
      </c>
      <c r="B4" s="7">
        <f>COUNTIF('Content log'!$E$2:$E$73,A4)</f>
        <v/>
      </c>
      <c r="C4" s="7">
        <f>COUNTIFS('Content log'!$E$2:$E$73,A4,'Content log'!$I$2:$I$73,"&gt;0")</f>
        <v/>
      </c>
      <c r="D4" s="8">
        <f>IF(C4=0,"",AVERAGEIFS('Content log'!$N$2:$N$73,'Content log'!$E$2:$E$73,A4,'Content log'!$I$2:$I$73,"&gt;0"))</f>
        <v/>
      </c>
      <c r="E4" s="8">
        <f>IF(C4=0,"",AVERAGEIFS('Content log'!$O$2:$O$73,'Content log'!$E$2:$E$73,A4,'Content log'!$I$2:$I$73,"&gt;0"))</f>
        <v/>
      </c>
      <c r="F4" s="7" t="n"/>
    </row>
    <row r="5">
      <c r="A5" s="7" t="inlineStr">
        <is>
          <t>relatable</t>
        </is>
      </c>
      <c r="B5" s="7">
        <f>COUNTIF('Content log'!$E$2:$E$73,A5)</f>
        <v/>
      </c>
      <c r="C5" s="7">
        <f>COUNTIFS('Content log'!$E$2:$E$73,A5,'Content log'!$I$2:$I$73,"&gt;0")</f>
        <v/>
      </c>
      <c r="D5" s="8">
        <f>IF(C5=0,"",AVERAGEIFS('Content log'!$N$2:$N$73,'Content log'!$E$2:$E$73,A5,'Content log'!$I$2:$I$73,"&gt;0"))</f>
        <v/>
      </c>
      <c r="E5" s="8">
        <f>IF(C5=0,"",AVERAGEIFS('Content log'!$O$2:$O$73,'Content log'!$E$2:$E$73,A5,'Content log'!$I$2:$I$73,"&gt;0"))</f>
        <v/>
      </c>
      <c r="F5" s="7" t="n"/>
    </row>
    <row r="6">
      <c r="A6" s="7" t="inlineStr">
        <is>
          <t>see-it-first</t>
        </is>
      </c>
      <c r="B6" s="7">
        <f>COUNTIF('Content log'!$E$2:$E$73,A6)</f>
        <v/>
      </c>
      <c r="C6" s="7">
        <f>COUNTIFS('Content log'!$E$2:$E$73,A6,'Content log'!$I$2:$I$73,"&gt;0")</f>
        <v/>
      </c>
      <c r="D6" s="8">
        <f>IF(C6=0,"",AVERAGEIFS('Content log'!$N$2:$N$73,'Content log'!$E$2:$E$73,A6,'Content log'!$I$2:$I$73,"&gt;0"))</f>
        <v/>
      </c>
      <c r="E6" s="8">
        <f>IF(C6=0,"",AVERAGEIFS('Content log'!$O$2:$O$73,'Content log'!$E$2:$E$73,A6,'Content log'!$I$2:$I$73,"&gt;0"))</f>
        <v/>
      </c>
      <c r="F6" s="7" t="n"/>
    </row>
    <row r="7">
      <c r="A7" s="11" t="inlineStr">
        <is>
          <t>All</t>
        </is>
      </c>
      <c r="B7" s="11">
        <f>SUM(B2:B6)</f>
        <v/>
      </c>
      <c r="C7" s="11">
        <f>SUM(C2:C6)</f>
        <v/>
      </c>
      <c r="D7" s="7" t="n"/>
      <c r="E7" s="7" t="n"/>
      <c r="F7" s="11">
        <f>SUM('Weekly KPIs'!O2:O21)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2" customWidth="1" min="5" max="5"/>
    <col width="16" customWidth="1" min="6" max="6"/>
    <col width="16" customWidth="1" min="7" max="7"/>
    <col width="20" customWidth="1" min="8" max="8"/>
    <col width="13" customWidth="1" min="9" max="9"/>
    <col width="13" customWidth="1" min="10" max="10"/>
    <col width="13" customWidth="1" min="11" max="11"/>
    <col width="14" customWidth="1" min="12" max="12"/>
    <col width="22" customWidth="1" min="13" max="13"/>
    <col width="12" customWidth="1" min="14" max="14"/>
    <col width="28" customWidth="1" min="15" max="15"/>
    <col width="13" customWidth="1" min="16" max="16"/>
    <col width="14" customWidth="1" min="17" max="17"/>
    <col width="24" customWidth="1" min="18" max="18"/>
    <col width="13" customWidth="1" min="19" max="19"/>
    <col width="14" customWidth="1" min="21" max="21"/>
    <col width="8" customWidth="1" min="22" max="22"/>
  </cols>
  <sheetData>
    <row r="1" ht="32" customHeight="1">
      <c r="A1" s="4" t="inlineStr">
        <is>
          <t>Restaurant name</t>
        </is>
      </c>
      <c r="B1" s="4" t="inlineStr">
        <is>
          <t>Area</t>
        </is>
      </c>
      <c r="C1" s="4" t="inlineStr">
        <is>
          <t>Category</t>
        </is>
      </c>
      <c r="D1" s="4" t="inlineStr">
        <is>
          <t>Contact name</t>
        </is>
      </c>
      <c r="E1" s="4" t="inlineStr">
        <is>
          <t>Role</t>
        </is>
      </c>
      <c r="F1" s="4" t="inlineStr">
        <is>
          <t>Phone whatsapp</t>
        </is>
      </c>
      <c r="G1" s="4" t="inlineStr">
        <is>
          <t>Instagram handle</t>
        </is>
      </c>
      <c r="H1" s="4" t="inlineStr">
        <is>
          <t>Email</t>
        </is>
      </c>
      <c r="I1" s="4" t="inlineStr">
        <is>
          <t>First contact date</t>
        </is>
      </c>
      <c r="J1" s="4" t="inlineStr">
        <is>
          <t>First contact channel</t>
        </is>
      </c>
      <c r="K1" s="4" t="inlineStr">
        <is>
          <t>Last contact date</t>
        </is>
      </c>
      <c r="L1" s="4" t="inlineStr">
        <is>
          <t>Status</t>
        </is>
      </c>
      <c r="M1" s="4" t="inlineStr">
        <is>
          <t>Objection raised</t>
        </is>
      </c>
      <c r="N1" s="4" t="inlineStr">
        <is>
          <t>Demo date</t>
        </is>
      </c>
      <c r="O1" s="4" t="inlineStr">
        <is>
          <t>Demo outcome notes</t>
        </is>
      </c>
      <c r="P1" s="4" t="inlineStr">
        <is>
          <t>Pilot start date</t>
        </is>
      </c>
      <c r="Q1" s="4" t="inlineStr">
        <is>
          <t>Referred by</t>
        </is>
      </c>
      <c r="R1" s="4" t="inlineStr">
        <is>
          <t>Next action</t>
        </is>
      </c>
      <c r="S1" s="4" t="inlineStr">
        <is>
          <t>Next action date</t>
        </is>
      </c>
      <c r="U1" s="12" t="inlineStr">
        <is>
          <t>Status</t>
        </is>
      </c>
      <c r="V1" s="12" t="inlineStr">
        <is>
          <t>Count</t>
        </is>
      </c>
    </row>
    <row r="2">
      <c r="A2" s="13" t="inlineStr">
        <is>
          <t>EXAMPLE: Café Name</t>
        </is>
      </c>
      <c r="B2" s="13" t="inlineStr">
        <is>
          <t>Gulberg</t>
        </is>
      </c>
      <c r="C2" s="13" t="inlineStr">
        <is>
          <t>Café / desserts</t>
        </is>
      </c>
      <c r="D2" s="13" t="inlineStr">
        <is>
          <t>Owner name</t>
        </is>
      </c>
      <c r="E2" s="13" t="inlineStr">
        <is>
          <t>Owner</t>
        </is>
      </c>
      <c r="F2" s="13" t="inlineStr">
        <is>
          <t>03xx xxxxxxx</t>
        </is>
      </c>
      <c r="G2" s="13" t="inlineStr">
        <is>
          <t>@cafe</t>
        </is>
      </c>
      <c r="H2" s="13" t="inlineStr"/>
      <c r="I2" s="14" t="n">
        <v>46302</v>
      </c>
      <c r="J2" s="13" t="inlineStr">
        <is>
          <t>Walk-in</t>
        </is>
      </c>
      <c r="K2" s="14" t="n">
        <v>46304</v>
      </c>
      <c r="L2" s="13" t="inlineStr">
        <is>
          <t>Demo booked</t>
        </is>
      </c>
      <c r="M2" s="13" t="inlineStr">
        <is>
          <t>"Guests don't use QR"</t>
        </is>
      </c>
      <c r="N2" s="14" t="n">
        <v>46309</v>
      </c>
      <c r="O2" s="13" t="inlineStr"/>
      <c r="P2" s="14" t="inlineStr"/>
      <c r="Q2" s="13" t="inlineStr"/>
      <c r="R2" s="13" t="inlineStr">
        <is>
          <t>Demo at 4 pm, bring the one-pager</t>
        </is>
      </c>
      <c r="S2" s="14" t="n">
        <v>46309</v>
      </c>
      <c r="U2" s="2" t="inlineStr">
        <is>
          <t>To contact</t>
        </is>
      </c>
      <c r="V2" s="2">
        <f>COUNTIF($L$3:$L$201,U2)</f>
        <v/>
      </c>
    </row>
    <row r="3">
      <c r="A3" s="6" t="inlineStr">
        <is>
          <t>RARE Steakhouse</t>
        </is>
      </c>
      <c r="B3" s="6" t="inlineStr">
        <is>
          <t>MM Alam Rd, Gulberg (rooftop, Gulberg Galleria)</t>
        </is>
      </c>
      <c r="C3" s="6" t="inlineStr">
        <is>
          <t>Steakhouse / premium grill</t>
        </is>
      </c>
      <c r="D3" s="6" t="n"/>
      <c r="E3" s="6" t="n"/>
      <c r="F3" s="6" t="n"/>
      <c r="G3" s="6" t="n"/>
      <c r="H3" s="6" t="n"/>
      <c r="I3" s="5" t="n"/>
      <c r="J3" s="6" t="n"/>
      <c r="K3" s="5" t="n"/>
      <c r="L3" s="6" t="inlineStr">
        <is>
          <t>To contact</t>
        </is>
      </c>
      <c r="M3" s="6" t="n"/>
      <c r="N3" s="5" t="n"/>
      <c r="O3" s="6" t="inlineStr">
        <is>
          <t>Wagyu-focused steakhouse per source; premium cuts are exactly the 'how big is the cut' moment AR answers.</t>
        </is>
      </c>
      <c r="P3" s="5" t="n"/>
      <c r="Q3" s="6" t="n"/>
      <c r="R3" s="6" t="inlineStr">
        <is>
          <t>Verify it still fits (priority A), then first contact</t>
        </is>
      </c>
      <c r="S3" s="5" t="n"/>
      <c r="U3" s="2" t="inlineStr">
        <is>
          <t>Contacted</t>
        </is>
      </c>
      <c r="V3" s="2">
        <f>COUNTIF($L$3:$L$201,U3)</f>
        <v/>
      </c>
    </row>
    <row r="4">
      <c r="A4" s="6" t="inlineStr">
        <is>
          <t>Cafe Zouk</t>
        </is>
      </c>
      <c r="B4" s="6" t="inlineStr">
        <is>
          <t>MM Alam Rd, Gulberg</t>
        </is>
      </c>
      <c r="C4" s="6" t="inlineStr">
        <is>
          <t>Fine dining / steakhouse</t>
        </is>
      </c>
      <c r="D4" s="6" t="n"/>
      <c r="E4" s="6" t="n"/>
      <c r="F4" s="6" t="n"/>
      <c r="G4" s="6" t="n"/>
      <c r="H4" s="6" t="n"/>
      <c r="I4" s="5" t="n"/>
      <c r="J4" s="6" t="n"/>
      <c r="K4" s="5" t="n"/>
      <c r="L4" s="6" t="inlineStr">
        <is>
          <t>To contact</t>
        </is>
      </c>
      <c r="M4" s="6" t="n"/>
      <c r="N4" s="5" t="n"/>
      <c r="O4" s="6" t="inlineStr">
        <is>
          <t>Sits in both the steakhouse and fine-dining source lists (ribeye/fillet/lamb steaks, Continental-Pan Asian-seafood menu) — dramatic plates, established brand.</t>
        </is>
      </c>
      <c r="P4" s="5" t="n"/>
      <c r="Q4" s="6" t="n"/>
      <c r="R4" s="6" t="inlineStr">
        <is>
          <t>Verify it still fits (priority A), then first contact</t>
        </is>
      </c>
      <c r="S4" s="5" t="n"/>
      <c r="U4" s="2" t="inlineStr">
        <is>
          <t>Replied</t>
        </is>
      </c>
      <c r="V4" s="2">
        <f>COUNTIF($L$3:$L$201,U4)</f>
        <v/>
      </c>
    </row>
    <row r="5">
      <c r="A5" s="6" t="inlineStr">
        <is>
          <t>Salt'n Pepper</t>
        </is>
      </c>
      <c r="B5" s="6" t="inlineStr">
        <is>
          <t>MM Alam Rd, Gulberg (flagship)</t>
        </is>
      </c>
      <c r="C5" s="6" t="inlineStr">
        <is>
          <t>Steakhouse / premium grill</t>
        </is>
      </c>
      <c r="D5" s="6" t="n"/>
      <c r="E5" s="6" t="n"/>
      <c r="F5" s="6" t="n"/>
      <c r="G5" s="6" t="n"/>
      <c r="H5" s="6" t="n"/>
      <c r="I5" s="5" t="n"/>
      <c r="J5" s="6" t="n"/>
      <c r="K5" s="5" t="n"/>
      <c r="L5" s="6" t="inlineStr">
        <is>
          <t>To contact</t>
        </is>
      </c>
      <c r="M5" s="6" t="n"/>
      <c r="N5" s="5" t="n"/>
      <c r="O5" s="6" t="inlineStr">
        <is>
          <t>Long-standing charcoal-grill brand on MM Alam Rd — established following, visually strong grilled plates.</t>
        </is>
      </c>
      <c r="P5" s="5" t="n"/>
      <c r="Q5" s="6" t="n"/>
      <c r="R5" s="6" t="inlineStr">
        <is>
          <t>Verify it still fits (priority A), then first contact</t>
        </is>
      </c>
      <c r="S5" s="5" t="n"/>
      <c r="U5" s="2" t="inlineStr">
        <is>
          <t>Demo booked</t>
        </is>
      </c>
      <c r="V5" s="2">
        <f>COUNTIF($L$3:$L$201,U5)</f>
        <v/>
      </c>
    </row>
    <row r="6">
      <c r="A6" s="6" t="inlineStr">
        <is>
          <t>Gaia</t>
        </is>
      </c>
      <c r="B6" s="6" t="n"/>
      <c r="C6" s="6" t="inlineStr">
        <is>
          <t>Fine dining / Pan-Asian</t>
        </is>
      </c>
      <c r="D6" s="6" t="n"/>
      <c r="E6" s="6" t="n"/>
      <c r="F6" s="6" t="n"/>
      <c r="G6" s="6" t="n"/>
      <c r="H6" s="6" t="n"/>
      <c r="I6" s="5" t="n"/>
      <c r="J6" s="6" t="n"/>
      <c r="K6" s="5" t="n"/>
      <c r="L6" s="6" t="inlineStr">
        <is>
          <t>To contact</t>
        </is>
      </c>
      <c r="M6" s="6" t="n"/>
      <c r="N6" s="5" t="n"/>
      <c r="O6" s="6" t="inlineStr">
        <is>
          <t>Described as premium Pan-Asian with theatrical teppanyaki grills and dark, moody luxury interior — a hero-dish moment AR can extend to the table.</t>
        </is>
      </c>
      <c r="P6" s="5" t="n"/>
      <c r="Q6" s="6" t="n"/>
      <c r="R6" s="6" t="inlineStr">
        <is>
          <t>Verify it still fits (priority A), then first contact</t>
        </is>
      </c>
      <c r="S6" s="5" t="n"/>
      <c r="U6" s="2" t="inlineStr">
        <is>
          <t>Demo done</t>
        </is>
      </c>
      <c r="V6" s="2">
        <f>COUNTIF($L$3:$L$201,U6)</f>
        <v/>
      </c>
    </row>
    <row r="7">
      <c r="A7" s="6" t="inlineStr">
        <is>
          <t>The Skye</t>
        </is>
      </c>
      <c r="B7" s="6" t="inlineStr">
        <is>
          <t>Gulberg III (18th floor, Indigo Hotel)</t>
        </is>
      </c>
      <c r="C7" s="6" t="inlineStr">
        <is>
          <t>Fine dining / rooftop</t>
        </is>
      </c>
      <c r="D7" s="6" t="n"/>
      <c r="E7" s="6" t="n"/>
      <c r="F7" s="6" t="n"/>
      <c r="G7" s="6" t="n"/>
      <c r="H7" s="6" t="n"/>
      <c r="I7" s="5" t="n"/>
      <c r="J7" s="6" t="n"/>
      <c r="K7" s="5" t="n"/>
      <c r="L7" s="6" t="inlineStr">
        <is>
          <t>To contact</t>
        </is>
      </c>
      <c r="M7" s="6" t="n"/>
      <c r="N7" s="5" t="n"/>
      <c r="O7" s="6" t="inlineStr">
        <is>
          <t>Billed as Lahore's highest rooftop dining destination with 360-degree skyline views — premium experience spend, owner likely to see AR as the same category.</t>
        </is>
      </c>
      <c r="P7" s="5" t="n"/>
      <c r="Q7" s="6" t="n"/>
      <c r="R7" s="6" t="inlineStr">
        <is>
          <t>Verify it still fits (priority A), then first contact</t>
        </is>
      </c>
      <c r="S7" s="5" t="n"/>
      <c r="U7" s="2" t="inlineStr">
        <is>
          <t>Pilot signed</t>
        </is>
      </c>
      <c r="V7" s="2">
        <f>COUNTIF($L$3:$L$201,U7)</f>
        <v/>
      </c>
    </row>
    <row r="8">
      <c r="A8" s="6" t="inlineStr">
        <is>
          <t>El Momento Steakhouse</t>
        </is>
      </c>
      <c r="B8" s="6" t="inlineStr">
        <is>
          <t>MM Alam Rd, Gulberg 2</t>
        </is>
      </c>
      <c r="C8" s="6" t="inlineStr">
        <is>
          <t>Steakhouse / premium grill</t>
        </is>
      </c>
      <c r="D8" s="6" t="n"/>
      <c r="E8" s="6" t="n"/>
      <c r="F8" s="6" t="n"/>
      <c r="G8" s="6" t="n"/>
      <c r="H8" s="6" t="n"/>
      <c r="I8" s="5" t="n"/>
      <c r="J8" s="6" t="n"/>
      <c r="K8" s="5" t="n"/>
      <c r="L8" s="6" t="inlineStr">
        <is>
          <t>To contact</t>
        </is>
      </c>
      <c r="M8" s="6" t="n"/>
      <c r="N8" s="5" t="n"/>
      <c r="O8" s="6" t="inlineStr">
        <is>
          <t>Tops multiple 2026 steakhouse rankings; imported aged beef cuts, sophisticated ambiance — same category as the pilot dish (steak board).</t>
        </is>
      </c>
      <c r="P8" s="5" t="n"/>
      <c r="Q8" s="6" t="n"/>
      <c r="R8" s="6" t="inlineStr">
        <is>
          <t>Verify it still fits (priority A), then first contact</t>
        </is>
      </c>
      <c r="S8" s="5" t="n"/>
      <c r="U8" s="2" t="inlineStr">
        <is>
          <t>Paid</t>
        </is>
      </c>
      <c r="V8" s="2">
        <f>COUNTIF($L$3:$L$201,U8)</f>
        <v/>
      </c>
    </row>
    <row r="9">
      <c r="A9" s="6" t="inlineStr">
        <is>
          <t>Cafe Aylanto</t>
        </is>
      </c>
      <c r="B9" s="6" t="inlineStr">
        <is>
          <t>MM Alam Rd</t>
        </is>
      </c>
      <c r="C9" s="6" t="inlineStr">
        <is>
          <t>Fine dining / Mediterranean</t>
        </is>
      </c>
      <c r="D9" s="6" t="n"/>
      <c r="E9" s="6" t="n"/>
      <c r="F9" s="6" t="n"/>
      <c r="G9" s="6" t="n"/>
      <c r="H9" s="6" t="n"/>
      <c r="I9" s="5" t="n"/>
      <c r="J9" s="6" t="n"/>
      <c r="K9" s="5" t="n"/>
      <c r="L9" s="6" t="inlineStr">
        <is>
          <t>To contact</t>
        </is>
      </c>
      <c r="M9" s="6" t="n"/>
      <c r="N9" s="5" t="n"/>
      <c r="O9" s="6" t="inlineStr">
        <is>
          <t>Long-running benchmark for upscale Mediterranean dining in Lahore — brand-conscious owner likely to value a tasteful AR menu over a gimmick.</t>
        </is>
      </c>
      <c r="P9" s="5" t="n"/>
      <c r="Q9" s="6" t="n"/>
      <c r="R9" s="6" t="inlineStr">
        <is>
          <t>Verify it still fits (priority A), then first contact</t>
        </is>
      </c>
      <c r="S9" s="5" t="n"/>
      <c r="U9" s="2" t="inlineStr">
        <is>
          <t>Not now</t>
        </is>
      </c>
      <c r="V9" s="2">
        <f>COUNTIF($L$3:$L$201,U9)</f>
        <v/>
      </c>
    </row>
    <row r="10">
      <c r="A10" s="6" t="inlineStr">
        <is>
          <t>Sikomoro</t>
        </is>
      </c>
      <c r="B10" s="6" t="n"/>
      <c r="C10" s="6" t="inlineStr">
        <is>
          <t>Fine dining / new opening</t>
        </is>
      </c>
      <c r="D10" s="6" t="n"/>
      <c r="E10" s="6" t="n"/>
      <c r="F10" s="6" t="n"/>
      <c r="G10" s="6" t="n"/>
      <c r="H10" s="6" t="n"/>
      <c r="I10" s="5" t="n"/>
      <c r="J10" s="6" t="n"/>
      <c r="K10" s="5" t="n"/>
      <c r="L10" s="6" t="inlineStr">
        <is>
          <t>To contact</t>
        </is>
      </c>
      <c r="M10" s="6" t="n"/>
      <c r="N10" s="5" t="n"/>
      <c r="O10" s="6" t="inlineStr">
        <is>
          <t>New poolside dining spot with French/Italian/continental plates and an in-house bakery — pre-launch or early menu means no legacy PDF to fight.</t>
        </is>
      </c>
      <c r="P10" s="5" t="n"/>
      <c r="Q10" s="6" t="n"/>
      <c r="R10" s="6" t="inlineStr">
        <is>
          <t>Verify it still fits (priority A), then first contact</t>
        </is>
      </c>
      <c r="S10" s="5" t="n"/>
      <c r="U10" s="2" t="inlineStr">
        <is>
          <t>Dormant</t>
        </is>
      </c>
      <c r="V10" s="2">
        <f>COUNTIF($L$3:$L$201,U10)</f>
        <v/>
      </c>
    </row>
    <row r="11">
      <c r="A11" s="6" t="inlineStr">
        <is>
          <t>Olive Fork</t>
        </is>
      </c>
      <c r="B11" s="6" t="inlineStr">
        <is>
          <t>Bahria Town Lahore (opposite Grand Masjid)</t>
        </is>
      </c>
      <c r="C11" s="6" t="inlineStr">
        <is>
          <t>New opening</t>
        </is>
      </c>
      <c r="D11" s="6" t="n"/>
      <c r="E11" s="6" t="n"/>
      <c r="F11" s="6" t="n"/>
      <c r="G11" s="6" t="n"/>
      <c r="H11" s="6" t="n"/>
      <c r="I11" s="5" t="n"/>
      <c r="J11" s="6" t="n"/>
      <c r="K11" s="5" t="n"/>
      <c r="L11" s="6" t="inlineStr">
        <is>
          <t>To contact</t>
        </is>
      </c>
      <c r="M11" s="6" t="n"/>
      <c r="N11" s="5" t="n"/>
      <c r="O11" s="6" t="inlineStr">
        <is>
          <t>Recently opened per source — early-days restaurants are the easiest 'yes' before their menu is printed.</t>
        </is>
      </c>
      <c r="P11" s="5" t="n"/>
      <c r="Q11" s="6" t="n"/>
      <c r="R11" s="6" t="inlineStr">
        <is>
          <t>Verify it still fits (priority A), then first contact</t>
        </is>
      </c>
      <c r="S11" s="5" t="n"/>
    </row>
    <row r="12">
      <c r="A12" s="6" t="inlineStr">
        <is>
          <t>Andaaz</t>
        </is>
      </c>
      <c r="B12" s="6" t="inlineStr">
        <is>
          <t>Fort Road, near Badshahi Mosque</t>
        </is>
      </c>
      <c r="C12" s="6" t="inlineStr">
        <is>
          <t>Fine dining / heritage rooftop</t>
        </is>
      </c>
      <c r="D12" s="6" t="n"/>
      <c r="E12" s="6" t="n"/>
      <c r="F12" s="6" t="n"/>
      <c r="G12" s="6" t="n"/>
      <c r="H12" s="6" t="n"/>
      <c r="I12" s="5" t="n"/>
      <c r="J12" s="6" t="n"/>
      <c r="K12" s="5" t="n"/>
      <c r="L12" s="6" t="inlineStr">
        <is>
          <t>To contact</t>
        </is>
      </c>
      <c r="M12" s="6" t="n"/>
      <c r="N12" s="5" t="n"/>
      <c r="O12" s="6" t="inlineStr">
        <is>
          <t>Rooftop Pakistani fine dining combining heritage setting with plated food — visually strong, tourist and status-dining crowd.</t>
        </is>
      </c>
      <c r="P12" s="5" t="n"/>
      <c r="Q12" s="6" t="n"/>
      <c r="R12" s="6" t="inlineStr">
        <is>
          <t>Verify it still fits (priority A), then first contact</t>
        </is>
      </c>
      <c r="S12" s="5" t="n"/>
    </row>
    <row r="13">
      <c r="A13" s="6" t="inlineStr">
        <is>
          <t>Arizona Grill</t>
        </is>
      </c>
      <c r="B13" s="6" t="inlineStr">
        <is>
          <t>Bahria Town</t>
        </is>
      </c>
      <c r="C13" s="6" t="inlineStr">
        <is>
          <t>Steakhouse / grill</t>
        </is>
      </c>
      <c r="D13" s="6" t="n"/>
      <c r="E13" s="6" t="n"/>
      <c r="F13" s="6" t="n"/>
      <c r="G13" s="6" t="n"/>
      <c r="H13" s="6" t="n"/>
      <c r="I13" s="5" t="n"/>
      <c r="J13" s="6" t="n"/>
      <c r="K13" s="5" t="n"/>
      <c r="L13" s="6" t="inlineStr">
        <is>
          <t>To contact</t>
        </is>
      </c>
      <c r="M13" s="6" t="n"/>
      <c r="N13" s="5" t="n"/>
      <c r="O13" s="6" t="inlineStr">
        <is>
          <t>Steaks, burgers and grilled sandwiches in a newer commercial area with less marketing-tech saturation, per sales-kit area logic.</t>
        </is>
      </c>
      <c r="P13" s="5" t="n"/>
      <c r="Q13" s="6" t="n"/>
      <c r="R13" s="6" t="inlineStr">
        <is>
          <t>Verify it still fits (priority A), then first contact</t>
        </is>
      </c>
      <c r="S13" s="5" t="n"/>
    </row>
    <row r="14">
      <c r="A14" s="6" t="inlineStr">
        <is>
          <t>Spice Bazaar</t>
        </is>
      </c>
      <c r="B14" s="6" t="n"/>
      <c r="C14" s="6" t="inlineStr">
        <is>
          <t>Fine dining / Pakistani</t>
        </is>
      </c>
      <c r="D14" s="6" t="n"/>
      <c r="E14" s="6" t="n"/>
      <c r="F14" s="6" t="n"/>
      <c r="G14" s="6" t="n"/>
      <c r="H14" s="6" t="n"/>
      <c r="I14" s="5" t="n"/>
      <c r="J14" s="6" t="n"/>
      <c r="K14" s="5" t="n"/>
      <c r="L14" s="6" t="inlineStr">
        <is>
          <t>To contact</t>
        </is>
      </c>
      <c r="M14" s="6" t="n"/>
      <c r="N14" s="5" t="n"/>
      <c r="O14" s="6" t="inlineStr">
        <is>
          <t>Established Pakistani fine-dining name (has its own Wikipedia page) — status-dining crowd, plated hero dishes.</t>
        </is>
      </c>
      <c r="P14" s="5" t="n"/>
      <c r="Q14" s="6" t="n"/>
      <c r="R14" s="6" t="inlineStr">
        <is>
          <t>Verify it still fits (priority A), then first contact</t>
        </is>
      </c>
      <c r="S14" s="5" t="n"/>
    </row>
    <row r="15">
      <c r="A15" s="6" t="inlineStr">
        <is>
          <t>Bangkok Steakhouse</t>
        </is>
      </c>
      <c r="B15" s="6" t="inlineStr">
        <is>
          <t>Gulberg</t>
        </is>
      </c>
      <c r="C15" s="6" t="inlineStr">
        <is>
          <t>Steakhouse / premium grill</t>
        </is>
      </c>
      <c r="D15" s="6" t="n"/>
      <c r="E15" s="6" t="n"/>
      <c r="F15" s="6" t="n"/>
      <c r="G15" s="6" t="n"/>
      <c r="H15" s="6" t="n"/>
      <c r="I15" s="5" t="n"/>
      <c r="J15" s="6" t="n"/>
      <c r="K15" s="5" t="n"/>
      <c r="L15" s="6" t="inlineStr">
        <is>
          <t>To contact</t>
        </is>
      </c>
      <c r="M15" s="6" t="n"/>
      <c r="N15" s="5" t="n"/>
      <c r="O15" s="6" t="inlineStr">
        <is>
          <t>Local favourite for generous grilled portions and marinades — the portion-size question AR is built to answer.</t>
        </is>
      </c>
      <c r="P15" s="5" t="n"/>
      <c r="Q15" s="6" t="n"/>
      <c r="R15" s="6" t="inlineStr">
        <is>
          <t>Verify it still fits (priority A), then first contact</t>
        </is>
      </c>
      <c r="S15" s="5" t="n"/>
    </row>
    <row r="16">
      <c r="A16" s="6" t="inlineStr">
        <is>
          <t>Xander's</t>
        </is>
      </c>
      <c r="B16" s="6" t="inlineStr">
        <is>
          <t>MM Alam Rd, Gulberg</t>
        </is>
      </c>
      <c r="C16" s="6" t="inlineStr">
        <is>
          <t>Steakhouse / premium casual grill</t>
        </is>
      </c>
      <c r="D16" s="6" t="n"/>
      <c r="E16" s="6" t="n"/>
      <c r="F16" s="6" t="n"/>
      <c r="G16" s="6" t="n"/>
      <c r="H16" s="6" t="n"/>
      <c r="I16" s="5" t="n"/>
      <c r="J16" s="6" t="n"/>
      <c r="K16" s="5" t="n"/>
      <c r="L16" s="6" t="inlineStr">
        <is>
          <t>To contact</t>
        </is>
      </c>
      <c r="M16" s="6" t="n"/>
      <c r="N16" s="5" t="n"/>
      <c r="O16" s="6" t="inlineStr">
        <is>
          <t>Casual-upscale steaks and grilled meats on MM Alam Rd — fits premium casual grill category directly.</t>
        </is>
      </c>
      <c r="P16" s="5" t="n"/>
      <c r="Q16" s="6" t="n"/>
      <c r="R16" s="6" t="inlineStr">
        <is>
          <t>Verify it still fits (priority A), then first contact</t>
        </is>
      </c>
      <c r="S16" s="5" t="n"/>
    </row>
    <row r="17">
      <c r="A17" s="6" t="inlineStr">
        <is>
          <t>Promenade</t>
        </is>
      </c>
      <c r="B17" s="6" t="n"/>
      <c r="C17" s="6" t="inlineStr">
        <is>
          <t>Photogenic cafe / new opening</t>
        </is>
      </c>
      <c r="D17" s="6" t="n"/>
      <c r="E17" s="6" t="n"/>
      <c r="F17" s="6" t="n"/>
      <c r="G17" s="6" t="n"/>
      <c r="H17" s="6" t="n"/>
      <c r="I17" s="5" t="n"/>
      <c r="J17" s="6" t="n"/>
      <c r="K17" s="5" t="n"/>
      <c r="L17" s="6" t="inlineStr">
        <is>
          <t>To contact</t>
        </is>
      </c>
      <c r="M17" s="6" t="n"/>
      <c r="N17" s="5" t="n"/>
      <c r="O17" s="6" t="inlineStr">
        <is>
          <t>Reported as Pakistan's first Bridgerton-themed cafe in Lahore — high novelty and photo appeal, natural fit for an AR menu as a launch story.</t>
        </is>
      </c>
      <c r="P17" s="5" t="n"/>
      <c r="Q17" s="6" t="n"/>
      <c r="R17" s="6" t="inlineStr">
        <is>
          <t>Verify it still fits (priority A), then first contact</t>
        </is>
      </c>
      <c r="S17" s="5" t="n"/>
    </row>
    <row r="18">
      <c r="A18" s="6" t="inlineStr">
        <is>
          <t>Mystique Restaurant</t>
        </is>
      </c>
      <c r="B18" s="6" t="n"/>
      <c r="C18" s="6" t="inlineStr">
        <is>
          <t>Fine dining</t>
        </is>
      </c>
      <c r="D18" s="6" t="n"/>
      <c r="E18" s="6" t="n"/>
      <c r="F18" s="6" t="n"/>
      <c r="G18" s="6" t="n"/>
      <c r="H18" s="6" t="n"/>
      <c r="I18" s="5" t="n"/>
      <c r="J18" s="6" t="n"/>
      <c r="K18" s="5" t="n"/>
      <c r="L18" s="6" t="inlineStr">
        <is>
          <t>To contact</t>
        </is>
      </c>
      <c r="M18" s="6" t="n"/>
      <c r="N18" s="5" t="n"/>
      <c r="O18" s="6" t="inlineStr">
        <is>
          <t>Self-described upscale spot blending continental, Asian and Pakistani dishes, positioned for corporate dinners and special occasions — experience-spend owner.</t>
        </is>
      </c>
      <c r="P18" s="5" t="n"/>
      <c r="Q18" s="6" t="n"/>
      <c r="R18" s="6" t="inlineStr">
        <is>
          <t>Verify it still fits (priority A), then first contact</t>
        </is>
      </c>
      <c r="S18" s="5" t="n"/>
    </row>
    <row r="19">
      <c r="A19" s="6" t="inlineStr">
        <is>
          <t>Dahlia Nursery + Cafe</t>
        </is>
      </c>
      <c r="B19" s="6" t="n"/>
      <c r="C19" s="6" t="inlineStr">
        <is>
          <t>Photogenic cafe</t>
        </is>
      </c>
      <c r="D19" s="6" t="n"/>
      <c r="E19" s="6" t="n"/>
      <c r="F19" s="6" t="n"/>
      <c r="G19" s="6" t="n"/>
      <c r="H19" s="6" t="n"/>
      <c r="I19" s="5" t="n"/>
      <c r="J19" s="6" t="n"/>
      <c r="K19" s="5" t="n"/>
      <c r="L19" s="6" t="inlineStr">
        <is>
          <t>To contact</t>
        </is>
      </c>
      <c r="M19" s="6" t="n"/>
      <c r="N19" s="5" t="n"/>
      <c r="O19" s="6" t="inlineStr">
        <is>
          <t>Plant-filled nursery-cafe aesthetic — guests already photograph the space; natural extension to photograph/AR the dish too.</t>
        </is>
      </c>
      <c r="P19" s="5" t="n"/>
      <c r="Q19" s="6" t="n"/>
      <c r="R19" s="6" t="inlineStr">
        <is>
          <t>Verify it still fits (priority B), then first contact</t>
        </is>
      </c>
      <c r="S19" s="5" t="n"/>
    </row>
    <row r="20">
      <c r="A20" s="6" t="inlineStr">
        <is>
          <t>Cafe Forest 14</t>
        </is>
      </c>
      <c r="B20" s="6" t="n"/>
      <c r="C20" s="6" t="inlineStr">
        <is>
          <t>Photogenic cafe</t>
        </is>
      </c>
      <c r="D20" s="6" t="n"/>
      <c r="E20" s="6" t="n"/>
      <c r="F20" s="6" t="n"/>
      <c r="G20" s="6" t="n"/>
      <c r="H20" s="6" t="n"/>
      <c r="I20" s="5" t="n"/>
      <c r="J20" s="6" t="n"/>
      <c r="K20" s="5" t="n"/>
      <c r="L20" s="6" t="inlineStr">
        <is>
          <t>To contact</t>
        </is>
      </c>
      <c r="M20" s="6" t="n"/>
      <c r="N20" s="5" t="n"/>
      <c r="O20" s="6" t="inlineStr">
        <is>
          <t>"Bali in Lahore" indoor-forest theme built for sunset photography — strong Instagram-first crowd.</t>
        </is>
      </c>
      <c r="P20" s="5" t="n"/>
      <c r="Q20" s="6" t="n"/>
      <c r="R20" s="6" t="inlineStr">
        <is>
          <t>Verify it still fits (priority B), then first contact</t>
        </is>
      </c>
      <c r="S20" s="5" t="n"/>
    </row>
    <row r="21">
      <c r="A21" s="6" t="inlineStr">
        <is>
          <t>Bistro Noir</t>
        </is>
      </c>
      <c r="B21" s="6" t="n"/>
      <c r="C21" s="6" t="inlineStr">
        <is>
          <t>Photogenic cafe</t>
        </is>
      </c>
      <c r="D21" s="6" t="n"/>
      <c r="E21" s="6" t="n"/>
      <c r="F21" s="6" t="n"/>
      <c r="G21" s="6" t="n"/>
      <c r="H21" s="6" t="n"/>
      <c r="I21" s="5" t="n"/>
      <c r="J21" s="6" t="n"/>
      <c r="K21" s="5" t="n"/>
      <c r="L21" s="6" t="inlineStr">
        <is>
          <t>To contact</t>
        </is>
      </c>
      <c r="M21" s="6" t="n"/>
      <c r="N21" s="5" t="n"/>
      <c r="O21" s="6" t="inlineStr">
        <is>
          <t>Monochrome, minimalist-luxury styling described as a deliberate design statement — brand-conscious owner.</t>
        </is>
      </c>
      <c r="P21" s="5" t="n"/>
      <c r="Q21" s="6" t="n"/>
      <c r="R21" s="6" t="inlineStr">
        <is>
          <t>Verify it still fits (priority B), then first contact</t>
        </is>
      </c>
      <c r="S21" s="5" t="n"/>
    </row>
    <row r="22">
      <c r="A22" s="6" t="inlineStr">
        <is>
          <t>Yanu</t>
        </is>
      </c>
      <c r="B22" s="6" t="n"/>
      <c r="C22" s="6" t="inlineStr">
        <is>
          <t>Photogenic cafe / poolside</t>
        </is>
      </c>
      <c r="D22" s="6" t="n"/>
      <c r="E22" s="6" t="n"/>
      <c r="F22" s="6" t="n"/>
      <c r="G22" s="6" t="n"/>
      <c r="H22" s="6" t="n"/>
      <c r="I22" s="5" t="n"/>
      <c r="J22" s="6" t="n"/>
      <c r="K22" s="5" t="n"/>
      <c r="L22" s="6" t="inlineStr">
        <is>
          <t>To contact</t>
        </is>
      </c>
      <c r="M22" s="6" t="n"/>
      <c r="N22" s="5" t="n"/>
      <c r="O22" s="6" t="inlineStr">
        <is>
          <t>Described as a Pinterest-style poolside spot for brunch and evening photoshoots — guests are already in a photograph-the-food mindset.</t>
        </is>
      </c>
      <c r="P22" s="5" t="n"/>
      <c r="Q22" s="6" t="n"/>
      <c r="R22" s="6" t="inlineStr">
        <is>
          <t>Verify it still fits (priority B), then first contact</t>
        </is>
      </c>
      <c r="S22" s="5" t="n"/>
    </row>
    <row r="23">
      <c r="A23" s="6" t="inlineStr">
        <is>
          <t>Meet Me In Paris</t>
        </is>
      </c>
      <c r="B23" s="6" t="n"/>
      <c r="C23" s="6" t="inlineStr">
        <is>
          <t>Photogenic cafe</t>
        </is>
      </c>
      <c r="D23" s="6" t="n"/>
      <c r="E23" s="6" t="n"/>
      <c r="F23" s="6" t="n"/>
      <c r="G23" s="6" t="n"/>
      <c r="H23" s="6" t="n"/>
      <c r="I23" s="5" t="n"/>
      <c r="J23" s="6" t="n"/>
      <c r="K23" s="5" t="n"/>
      <c r="L23" s="6" t="inlineStr">
        <is>
          <t>To contact</t>
        </is>
      </c>
      <c r="M23" s="6" t="n"/>
      <c r="N23" s="5" t="n"/>
      <c r="O23" s="6" t="inlineStr">
        <is>
          <t>Floral facade described as one of the most photographed cafe entrances in Lahore — proof guests already stop to photograph before they order.</t>
        </is>
      </c>
      <c r="P23" s="5" t="n"/>
      <c r="Q23" s="6" t="n"/>
      <c r="R23" s="6" t="inlineStr">
        <is>
          <t>Verify it still fits (priority B), then first contact</t>
        </is>
      </c>
      <c r="S23" s="5" t="n"/>
    </row>
    <row r="24">
      <c r="A24" s="6" t="inlineStr">
        <is>
          <t>COMO Museum of Art Cafe</t>
        </is>
      </c>
      <c r="B24" s="6" t="n"/>
      <c r="C24" s="6" t="inlineStr">
        <is>
          <t>Photogenic cafe / gallery</t>
        </is>
      </c>
      <c r="D24" s="6" t="n"/>
      <c r="E24" s="6" t="n"/>
      <c r="F24" s="6" t="n"/>
      <c r="G24" s="6" t="n"/>
      <c r="H24" s="6" t="n"/>
      <c r="I24" s="5" t="n"/>
      <c r="J24" s="6" t="n"/>
      <c r="K24" s="5" t="n"/>
      <c r="L24" s="6" t="inlineStr">
        <is>
          <t>To contact</t>
        </is>
      </c>
      <c r="M24" s="6" t="n"/>
      <c r="N24" s="5" t="n"/>
      <c r="O24" s="6" t="inlineStr">
        <is>
          <t>Cafe inside an art museum, modern architecture — audience already primed for a considered visual experience.</t>
        </is>
      </c>
      <c r="P24" s="5" t="n"/>
      <c r="Q24" s="6" t="n"/>
      <c r="R24" s="6" t="inlineStr">
        <is>
          <t>Verify it still fits (priority B), then first contact</t>
        </is>
      </c>
      <c r="S24" s="5" t="n"/>
    </row>
    <row r="25">
      <c r="A25" s="6" t="inlineStr">
        <is>
          <t>Deja by Khadija</t>
        </is>
      </c>
      <c r="B25" s="6" t="n"/>
      <c r="C25" s="6" t="inlineStr">
        <is>
          <t>Photogenic dessert cafe</t>
        </is>
      </c>
      <c r="D25" s="6" t="n"/>
      <c r="E25" s="6" t="n"/>
      <c r="F25" s="6" t="n"/>
      <c r="G25" s="6" t="n"/>
      <c r="H25" s="6" t="n"/>
      <c r="I25" s="5" t="n"/>
      <c r="J25" s="6" t="n"/>
      <c r="K25" s="5" t="n"/>
      <c r="L25" s="6" t="inlineStr">
        <is>
          <t>To contact</t>
        </is>
      </c>
      <c r="M25" s="6" t="n"/>
      <c r="N25" s="5" t="n"/>
      <c r="O25" s="6" t="inlineStr">
        <is>
          <t>Pink-and-white dessert cafe described as "every corner is picture-perfect" — decorated cakes are a hero-dish candidate.</t>
        </is>
      </c>
      <c r="P25" s="5" t="n"/>
      <c r="Q25" s="6" t="n"/>
      <c r="R25" s="6" t="inlineStr">
        <is>
          <t>Verify it still fits (priority B), then first contact</t>
        </is>
      </c>
      <c r="S25" s="5" t="n"/>
    </row>
    <row r="26">
      <c r="A26" s="6" t="inlineStr">
        <is>
          <t>Sweet Affairs</t>
        </is>
      </c>
      <c r="B26" s="6" t="inlineStr">
        <is>
          <t>Gulberg + DHA</t>
        </is>
      </c>
      <c r="C26" s="6" t="inlineStr">
        <is>
          <t>Photogenic cafe / dessert</t>
        </is>
      </c>
      <c r="D26" s="6" t="n"/>
      <c r="E26" s="6" t="n"/>
      <c r="F26" s="6" t="n"/>
      <c r="G26" s="6" t="n"/>
      <c r="H26" s="6" t="n"/>
      <c r="I26" s="5" t="n"/>
      <c r="J26" s="6" t="n"/>
      <c r="K26" s="5" t="n"/>
      <c r="L26" s="6" t="inlineStr">
        <is>
          <t>To contact</t>
        </is>
      </c>
      <c r="M26" s="6" t="n"/>
      <c r="N26" s="5" t="n"/>
      <c r="O26" s="6" t="inlineStr">
        <is>
          <t>Whimsical, pastel decor since 2011; skillet-cookie dessert is a shareable, photogenic hero item.</t>
        </is>
      </c>
      <c r="P26" s="5" t="n"/>
      <c r="Q26" s="6" t="n"/>
      <c r="R26" s="6" t="inlineStr">
        <is>
          <t>Verify it still fits (priority B), then first contact</t>
        </is>
      </c>
      <c r="S26" s="5" t="n"/>
    </row>
    <row r="27">
      <c r="A27" s="6" t="inlineStr">
        <is>
          <t>The Urban Eatery</t>
        </is>
      </c>
      <c r="B27" s="6" t="inlineStr">
        <is>
          <t>DHA</t>
        </is>
      </c>
      <c r="C27" s="6" t="inlineStr">
        <is>
          <t>Photogenic cafe / casual dining</t>
        </is>
      </c>
      <c r="D27" s="6" t="n"/>
      <c r="E27" s="6" t="n"/>
      <c r="F27" s="6" t="n"/>
      <c r="G27" s="6" t="n"/>
      <c r="H27" s="6" t="n"/>
      <c r="I27" s="5" t="n"/>
      <c r="J27" s="6" t="n"/>
      <c r="K27" s="5" t="n"/>
      <c r="L27" s="6" t="inlineStr">
        <is>
          <t>To contact</t>
        </is>
      </c>
      <c r="M27" s="6" t="n"/>
      <c r="N27" s="5" t="n"/>
      <c r="O27" s="6" t="inlineStr">
        <is>
          <t>Listed among Lahore's aesthetic hangout spots — established Instagram-forward brunch crowd.</t>
        </is>
      </c>
      <c r="P27" s="5" t="n"/>
      <c r="Q27" s="6" t="n"/>
      <c r="R27" s="6" t="inlineStr">
        <is>
          <t>Verify it still fits (priority B), then first contact</t>
        </is>
      </c>
      <c r="S27" s="5" t="n"/>
    </row>
    <row r="28">
      <c r="A28" s="6" t="inlineStr">
        <is>
          <t>English Tea House</t>
        </is>
      </c>
      <c r="B28" s="6" t="inlineStr">
        <is>
          <t>Gulberg + DHA</t>
        </is>
      </c>
      <c r="C28" s="6" t="inlineStr">
        <is>
          <t>Photogenic cafe / breakfast</t>
        </is>
      </c>
      <c r="D28" s="6" t="n"/>
      <c r="E28" s="6" t="n"/>
      <c r="F28" s="6" t="n"/>
      <c r="G28" s="6" t="n"/>
      <c r="H28" s="6" t="n"/>
      <c r="I28" s="5" t="n"/>
      <c r="J28" s="6" t="n"/>
      <c r="K28" s="5" t="n"/>
      <c r="L28" s="6" t="inlineStr">
        <is>
          <t>To contact</t>
        </is>
      </c>
      <c r="M28" s="6" t="n"/>
      <c r="N28" s="5" t="n"/>
      <c r="O28" s="6" t="inlineStr">
        <is>
          <t>Listed among Lahore's aesthetic hangout spots for breakfast — photogenic plating, brunch crowd.</t>
        </is>
      </c>
      <c r="P28" s="5" t="n"/>
      <c r="Q28" s="6" t="n"/>
      <c r="R28" s="6" t="inlineStr">
        <is>
          <t>Verify it still fits (priority B), then first contact</t>
        </is>
      </c>
      <c r="S28" s="5" t="n"/>
    </row>
    <row r="29">
      <c r="A29" s="6" t="inlineStr">
        <is>
          <t>Sweet Tooth</t>
        </is>
      </c>
      <c r="B29" s="6" t="inlineStr">
        <is>
          <t>Mall 1</t>
        </is>
      </c>
      <c r="C29" s="6" t="inlineStr">
        <is>
          <t>Dessert cafe</t>
        </is>
      </c>
      <c r="D29" s="6" t="n"/>
      <c r="E29" s="6" t="n"/>
      <c r="F29" s="6" t="n"/>
      <c r="G29" s="6" t="n"/>
      <c r="H29" s="6" t="n"/>
      <c r="I29" s="5" t="n"/>
      <c r="J29" s="6" t="n"/>
      <c r="K29" s="5" t="n"/>
      <c r="L29" s="6" t="inlineStr">
        <is>
          <t>To contact</t>
        </is>
      </c>
      <c r="M29" s="6" t="n"/>
      <c r="N29" s="5" t="n"/>
      <c r="O29" s="6" t="inlineStr">
        <is>
          <t>Described as one of the newest Instagrammable dessert spots in town, with wall art and a cozy setting built for photos.</t>
        </is>
      </c>
      <c r="P29" s="5" t="n"/>
      <c r="Q29" s="6" t="n"/>
      <c r="R29" s="6" t="inlineStr">
        <is>
          <t>Verify it still fits (priority B), then first contact</t>
        </is>
      </c>
      <c r="S29" s="5" t="n"/>
    </row>
    <row r="30">
      <c r="A30" s="6" t="inlineStr">
        <is>
          <t>Layers - Bakeshop</t>
        </is>
      </c>
      <c r="B30" s="6" t="n"/>
      <c r="C30" s="6" t="inlineStr">
        <is>
          <t>Dessert / bakery</t>
        </is>
      </c>
      <c r="D30" s="6" t="n"/>
      <c r="E30" s="6" t="n"/>
      <c r="F30" s="6" t="n"/>
      <c r="G30" s="6" t="n"/>
      <c r="H30" s="6" t="n"/>
      <c r="I30" s="5" t="n"/>
      <c r="J30" s="6" t="n"/>
      <c r="K30" s="5" t="n"/>
      <c r="L30" s="6" t="inlineStr">
        <is>
          <t>To contact</t>
        </is>
      </c>
      <c r="M30" s="6" t="n"/>
      <c r="N30" s="5" t="n"/>
      <c r="O30" s="6" t="inlineStr">
        <is>
          <t>Affordable cupcakes, cakes and sundaes (Galaxy Sundae, salted caramel cake called out by name) — visual, shareable desserts.</t>
        </is>
      </c>
      <c r="P30" s="5" t="n"/>
      <c r="Q30" s="6" t="n"/>
      <c r="R30" s="6" t="inlineStr">
        <is>
          <t>Verify it still fits (priority B), then first contact</t>
        </is>
      </c>
      <c r="S30" s="5" t="n"/>
    </row>
    <row r="31">
      <c r="A31" s="6" t="inlineStr">
        <is>
          <t>Dessert Directory</t>
        </is>
      </c>
      <c r="B31" s="6" t="n"/>
      <c r="C31" s="6" t="inlineStr">
        <is>
          <t>Dessert / boutique bakery</t>
        </is>
      </c>
      <c r="D31" s="6" t="n"/>
      <c r="E31" s="6" t="n"/>
      <c r="F31" s="6" t="n"/>
      <c r="G31" s="6" t="n"/>
      <c r="H31" s="6" t="n"/>
      <c r="I31" s="5" t="n"/>
      <c r="J31" s="6" t="n"/>
      <c r="K31" s="5" t="n"/>
      <c r="L31" s="6" t="inlineStr">
        <is>
          <t>To contact</t>
        </is>
      </c>
      <c r="M31" s="6" t="n"/>
      <c r="N31" s="5" t="n"/>
      <c r="O31" s="6" t="inlineStr">
        <is>
          <t>French-inspired boutique dessert shop aggregating home-based bakers — novelty, photogenic packaging.</t>
        </is>
      </c>
      <c r="P31" s="5" t="n"/>
      <c r="Q31" s="6" t="n"/>
      <c r="R31" s="6" t="inlineStr">
        <is>
          <t>Verify it still fits (priority B), then first contact</t>
        </is>
      </c>
      <c r="S31" s="5" t="n"/>
    </row>
    <row r="32">
      <c r="A32" s="6" t="inlineStr">
        <is>
          <t>Freddy's Cafe</t>
        </is>
      </c>
      <c r="B32" s="6" t="inlineStr">
        <is>
          <t>Johar Town</t>
        </is>
      </c>
      <c r="C32" s="6" t="inlineStr">
        <is>
          <t>Premium casual / continental</t>
        </is>
      </c>
      <c r="D32" s="6" t="n"/>
      <c r="E32" s="6" t="n"/>
      <c r="F32" s="6" t="n"/>
      <c r="G32" s="6" t="n"/>
      <c r="H32" s="6" t="n"/>
      <c r="I32" s="5" t="n"/>
      <c r="J32" s="6" t="n"/>
      <c r="K32" s="5" t="n"/>
      <c r="L32" s="6" t="inlineStr">
        <is>
          <t>To contact</t>
        </is>
      </c>
      <c r="M32" s="6" t="n"/>
      <c r="N32" s="5" t="n"/>
      <c r="O32" s="6" t="inlineStr">
        <is>
          <t>Stylish continental dining known for pastas and steaks — premium casual fit outside the Gulberg/DHA cluster.</t>
        </is>
      </c>
      <c r="P32" s="5" t="n"/>
      <c r="Q32" s="6" t="n"/>
      <c r="R32" s="6" t="inlineStr">
        <is>
          <t>Verify it still fits (priority B), then first contact</t>
        </is>
      </c>
      <c r="S32" s="5" t="n"/>
    </row>
    <row r="33">
      <c r="A33" s="6" t="inlineStr">
        <is>
          <t>FiLLi Cafe</t>
        </is>
      </c>
      <c r="B33" s="6" t="inlineStr">
        <is>
          <t>Johar Town (and other Lahore branches)</t>
        </is>
      </c>
      <c r="C33" s="6" t="inlineStr">
        <is>
          <t>Cafe / tea chain</t>
        </is>
      </c>
      <c r="D33" s="6" t="n"/>
      <c r="E33" s="6" t="n"/>
      <c r="F33" s="6" t="n"/>
      <c r="G33" s="6" t="n"/>
      <c r="H33" s="6" t="n"/>
      <c r="I33" s="5" t="n"/>
      <c r="J33" s="6" t="n"/>
      <c r="K33" s="5" t="n"/>
      <c r="L33" s="6" t="inlineStr">
        <is>
          <t>To contact</t>
        </is>
      </c>
      <c r="M33" s="6" t="n"/>
      <c r="N33" s="5" t="n"/>
      <c r="O33" s="6" t="inlineStr">
        <is>
          <t>Known for a signature Zafran Chai and a strong local following — large audience, worth checking whether the printed menu is text-only.</t>
        </is>
      </c>
      <c r="P33" s="5" t="n"/>
      <c r="Q33" s="6" t="n"/>
      <c r="R33" s="6" t="inlineStr">
        <is>
          <t>Verify it still fits (priority B), then first contact</t>
        </is>
      </c>
      <c r="S33" s="5" t="n"/>
    </row>
    <row r="34">
      <c r="A34" s="6" t="inlineStr">
        <is>
          <t>Howdy</t>
        </is>
      </c>
      <c r="B34" s="6" t="inlineStr">
        <is>
          <t>Johar Town</t>
        </is>
      </c>
      <c r="C34" s="6" t="inlineStr">
        <is>
          <t>Steakhouse / premium casual</t>
        </is>
      </c>
      <c r="D34" s="6" t="n"/>
      <c r="E34" s="6" t="n"/>
      <c r="F34" s="6" t="n"/>
      <c r="G34" s="6" t="n"/>
      <c r="H34" s="6" t="n"/>
      <c r="I34" s="5" t="n"/>
      <c r="J34" s="6" t="n"/>
      <c r="K34" s="5" t="n"/>
      <c r="L34" s="6" t="inlineStr">
        <is>
          <t>To contact</t>
        </is>
      </c>
      <c r="M34" s="6" t="n"/>
      <c r="N34" s="5" t="n"/>
      <c r="O34" s="6" t="inlineStr">
        <is>
          <t>Described as a premium, cowboy-themed steakhouse for burgers and steaks — verify it is not primarily a fast-food/burger operation before pitching.</t>
        </is>
      </c>
      <c r="P34" s="5" t="n"/>
      <c r="Q34" s="6" t="n"/>
      <c r="R34" s="6" t="inlineStr">
        <is>
          <t>Verify it still fits (priority C), then first contact</t>
        </is>
      </c>
      <c r="S34" s="5" t="n"/>
    </row>
    <row r="35">
      <c r="A35" s="6" t="inlineStr">
        <is>
          <t>Ranchers</t>
        </is>
      </c>
      <c r="B35" s="6" t="inlineStr">
        <is>
          <t>Johar Town</t>
        </is>
      </c>
      <c r="C35" s="6" t="inlineStr">
        <is>
          <t>Steakhouse / grill</t>
        </is>
      </c>
      <c r="D35" s="6" t="n"/>
      <c r="E35" s="6" t="n"/>
      <c r="F35" s="6" t="n"/>
      <c r="G35" s="6" t="n"/>
      <c r="H35" s="6" t="n"/>
      <c r="I35" s="5" t="n"/>
      <c r="J35" s="6" t="n"/>
      <c r="K35" s="5" t="n"/>
      <c r="L35" s="6" t="inlineStr">
        <is>
          <t>To contact</t>
        </is>
      </c>
      <c r="M35" s="6" t="n"/>
      <c r="N35" s="5" t="n"/>
      <c r="O35" s="6" t="inlineStr">
        <is>
          <t>Described as a meat-lovers spot for grilled steaks in a rustic setting.</t>
        </is>
      </c>
      <c r="P35" s="5" t="n"/>
      <c r="Q35" s="6" t="n"/>
      <c r="R35" s="6" t="inlineStr">
        <is>
          <t>Verify it still fits (priority C), then first contact</t>
        </is>
      </c>
      <c r="S35" s="5" t="n"/>
    </row>
    <row r="36">
      <c r="A36" s="6" t="inlineStr">
        <is>
          <t>Double Shot Coffee</t>
        </is>
      </c>
      <c r="B36" s="6" t="inlineStr">
        <is>
          <t>DHA Phase 6</t>
        </is>
      </c>
      <c r="C36" s="6" t="inlineStr">
        <is>
          <t>Cafe / coffee</t>
        </is>
      </c>
      <c r="D36" s="6" t="n"/>
      <c r="E36" s="6" t="n"/>
      <c r="F36" s="6" t="n"/>
      <c r="G36" s="6" t="n"/>
      <c r="H36" s="6" t="n"/>
      <c r="I36" s="5" t="n"/>
      <c r="J36" s="6" t="n"/>
      <c r="K36" s="5" t="n"/>
      <c r="L36" s="6" t="inlineStr">
        <is>
          <t>To contact</t>
        </is>
      </c>
      <c r="M36" s="6" t="n"/>
      <c r="N36" s="5" t="n"/>
      <c r="O36" s="6" t="inlineStr">
        <is>
          <t>Coffee-forward modern cafe in the DHA Phase 6 cluster — good for a single-afternoon walk with other DHA prospects.</t>
        </is>
      </c>
      <c r="P36" s="5" t="n"/>
      <c r="Q36" s="6" t="n"/>
      <c r="R36" s="6" t="inlineStr">
        <is>
          <t>Verify it still fits (priority C), then first contact</t>
        </is>
      </c>
      <c r="S36" s="5" t="n"/>
    </row>
    <row r="37">
      <c r="A37" s="6" t="inlineStr">
        <is>
          <t>Kickstart Cafe</t>
        </is>
      </c>
      <c r="B37" s="6" t="inlineStr">
        <is>
          <t>DHA Phase 6</t>
        </is>
      </c>
      <c r="C37" s="6" t="inlineStr">
        <is>
          <t>Cafe</t>
        </is>
      </c>
      <c r="D37" s="6" t="n"/>
      <c r="E37" s="6" t="n"/>
      <c r="F37" s="6" t="n"/>
      <c r="G37" s="6" t="n"/>
      <c r="H37" s="6" t="n"/>
      <c r="I37" s="5" t="n"/>
      <c r="J37" s="6" t="n"/>
      <c r="K37" s="5" t="n"/>
      <c r="L37" s="6" t="inlineStr">
        <is>
          <t>To contact</t>
        </is>
      </c>
      <c r="M37" s="6" t="n"/>
      <c r="N37" s="5" t="n"/>
      <c r="O37" s="6" t="inlineStr">
        <is>
          <t>Positively reviewed neighbourhood cafe in the DHA Phase 6 cluster.</t>
        </is>
      </c>
      <c r="P37" s="5" t="n"/>
      <c r="Q37" s="6" t="n"/>
      <c r="R37" s="6" t="inlineStr">
        <is>
          <t>Verify it still fits (priority C), then first contact</t>
        </is>
      </c>
      <c r="S37" s="5" t="n"/>
    </row>
    <row r="38">
      <c r="A38" s="6" t="inlineStr">
        <is>
          <t>Chai Hujra</t>
        </is>
      </c>
      <c r="B38" s="6" t="inlineStr">
        <is>
          <t>DHA Phase 5</t>
        </is>
      </c>
      <c r="C38" s="6" t="inlineStr">
        <is>
          <t>Cafe / evening venue</t>
        </is>
      </c>
      <c r="D38" s="6" t="n"/>
      <c r="E38" s="6" t="n"/>
      <c r="F38" s="6" t="n"/>
      <c r="G38" s="6" t="n"/>
      <c r="H38" s="6" t="n"/>
      <c r="I38" s="5" t="n"/>
      <c r="J38" s="6" t="n"/>
      <c r="K38" s="5" t="n"/>
      <c r="L38" s="6" t="inlineStr">
        <is>
          <t>To contact</t>
        </is>
      </c>
      <c r="M38" s="6" t="n"/>
      <c r="N38" s="5" t="n"/>
      <c r="O38" s="6" t="inlineStr">
        <is>
          <t>Nightly live-music tea venue in DHA Phase 5 — verify it has a plated food menu (not just tea/snacks) before treating as an AR-menu fit.</t>
        </is>
      </c>
      <c r="P38" s="5" t="n"/>
      <c r="Q38" s="6" t="n"/>
      <c r="R38" s="6" t="inlineStr">
        <is>
          <t>Verify it still fits (priority C), then first contact</t>
        </is>
      </c>
      <c r="S38" s="5" t="n"/>
    </row>
    <row r="39">
      <c r="A39" s="6" t="inlineStr">
        <is>
          <t>Kudo's Caff</t>
        </is>
      </c>
      <c r="B39" s="6" t="inlineStr">
        <is>
          <t>Johar Town</t>
        </is>
      </c>
      <c r="C39" s="6" t="inlineStr">
        <is>
          <t>Cafe</t>
        </is>
      </c>
      <c r="D39" s="6" t="n"/>
      <c r="E39" s="6" t="n"/>
      <c r="F39" s="6" t="n"/>
      <c r="G39" s="6" t="n"/>
      <c r="H39" s="6" t="n"/>
      <c r="I39" s="5" t="n"/>
      <c r="J39" s="6" t="n"/>
      <c r="K39" s="5" t="n"/>
      <c r="L39" s="6" t="inlineStr">
        <is>
          <t>To contact</t>
        </is>
      </c>
      <c r="M39" s="6" t="n"/>
      <c r="N39" s="5" t="n"/>
      <c r="O39" s="6" t="inlineStr">
        <is>
          <t>Trendy neighbourhood cafe for casual meetups and coffee.</t>
        </is>
      </c>
      <c r="P39" s="5" t="n"/>
      <c r="Q39" s="6" t="n"/>
      <c r="R39" s="6" t="inlineStr">
        <is>
          <t>Verify it still fits (priority C), then first contact</t>
        </is>
      </c>
      <c r="S39" s="5" t="n"/>
    </row>
    <row r="40">
      <c r="A40" s="6" t="inlineStr">
        <is>
          <t>Buqayvia Restaurant</t>
        </is>
      </c>
      <c r="B40" s="6" t="inlineStr">
        <is>
          <t>Johar Town</t>
        </is>
      </c>
      <c r="C40" s="6" t="inlineStr">
        <is>
          <t>Casual dining / Pakistani-continental</t>
        </is>
      </c>
      <c r="D40" s="6" t="n"/>
      <c r="E40" s="6" t="n"/>
      <c r="F40" s="6" t="n"/>
      <c r="G40" s="6" t="n"/>
      <c r="H40" s="6" t="n"/>
      <c r="I40" s="5" t="n"/>
      <c r="J40" s="6" t="n"/>
      <c r="K40" s="5" t="n"/>
      <c r="L40" s="6" t="inlineStr">
        <is>
          <t>To contact</t>
        </is>
      </c>
      <c r="M40" s="6" t="n"/>
      <c r="N40" s="5" t="n"/>
      <c r="O40" s="6" t="inlineStr">
        <is>
          <t>Family-casual Pakistani/continental spot — screen for table service and a hero dish before pitching.</t>
        </is>
      </c>
      <c r="P40" s="5" t="n"/>
      <c r="Q40" s="6" t="n"/>
      <c r="R40" s="6" t="inlineStr">
        <is>
          <t>Verify it still fits (priority C), then first contact</t>
        </is>
      </c>
      <c r="S40" s="5" t="n"/>
    </row>
    <row r="41">
      <c r="A41" s="6" t="inlineStr">
        <is>
          <t>Chaye Qawali</t>
        </is>
      </c>
      <c r="B41" s="6" t="inlineStr">
        <is>
          <t>Johar Town</t>
        </is>
      </c>
      <c r="C41" s="6" t="inlineStr">
        <is>
          <t>Cafe / tea</t>
        </is>
      </c>
      <c r="D41" s="6" t="n"/>
      <c r="E41" s="6" t="n"/>
      <c r="F41" s="6" t="n"/>
      <c r="G41" s="6" t="n"/>
      <c r="H41" s="6" t="n"/>
      <c r="I41" s="5" t="n"/>
      <c r="J41" s="6" t="n"/>
      <c r="K41" s="5" t="n"/>
      <c r="L41" s="6" t="inlineStr">
        <is>
          <t>To contact</t>
        </is>
      </c>
      <c r="M41" s="6" t="n"/>
      <c r="N41" s="5" t="n"/>
      <c r="O41" s="6" t="inlineStr">
        <is>
          <t>Tea-focused cafe with a vibrant atmosphere — check whether food menu has a strong-enough hero dish for AR.</t>
        </is>
      </c>
      <c r="P41" s="5" t="n"/>
      <c r="Q41" s="6" t="n"/>
      <c r="R41" s="6" t="inlineStr">
        <is>
          <t>Verify it still fits (priority C), then first contact</t>
        </is>
      </c>
      <c r="S41" s="5" t="n"/>
    </row>
    <row r="42">
      <c r="A42" s="6" t="inlineStr">
        <is>
          <t>Al-Nakhal Arabian Cuisine</t>
        </is>
      </c>
      <c r="B42" s="6" t="inlineStr">
        <is>
          <t>Johar Town</t>
        </is>
      </c>
      <c r="C42" s="6" t="inlineStr">
        <is>
          <t>Restaurant / Arabian</t>
        </is>
      </c>
      <c r="D42" s="6" t="n"/>
      <c r="E42" s="6" t="n"/>
      <c r="F42" s="6" t="n"/>
      <c r="G42" s="6" t="n"/>
      <c r="H42" s="6" t="n"/>
      <c r="I42" s="5" t="n"/>
      <c r="J42" s="6" t="n"/>
      <c r="K42" s="5" t="n"/>
      <c r="L42" s="6" t="inlineStr">
        <is>
          <t>To contact</t>
        </is>
      </c>
      <c r="M42" s="6" t="n"/>
      <c r="N42" s="5" t="n"/>
      <c r="O42" s="6" t="inlineStr">
        <is>
          <t>Arabian cuisine (mandi/platter-style dishes tend to be visually dramatic and shareable) — worth a screen visit.</t>
        </is>
      </c>
      <c r="P42" s="5" t="n"/>
      <c r="Q42" s="6" t="n"/>
      <c r="R42" s="6" t="inlineStr">
        <is>
          <t>Verify it still fits (priority C), then first contact</t>
        </is>
      </c>
      <c r="S42" s="5" t="n"/>
    </row>
    <row r="43">
      <c r="A43" s="6" t="inlineStr">
        <is>
          <t>The Lost Tribe</t>
        </is>
      </c>
      <c r="B43" s="6" t="inlineStr">
        <is>
          <t>Model Town</t>
        </is>
      </c>
      <c r="C43" s="6" t="inlineStr">
        <is>
          <t>Casual dining / Pakistani</t>
        </is>
      </c>
      <c r="D43" s="6" t="n"/>
      <c r="E43" s="6" t="n"/>
      <c r="F43" s="6" t="n"/>
      <c r="G43" s="6" t="n"/>
      <c r="H43" s="6" t="n"/>
      <c r="I43" s="5" t="n"/>
      <c r="J43" s="6" t="n"/>
      <c r="K43" s="5" t="n"/>
      <c r="L43" s="6" t="inlineStr">
        <is>
          <t>To contact</t>
        </is>
      </c>
      <c r="M43" s="6" t="n"/>
      <c r="N43" s="5" t="n"/>
      <c r="O43" s="6" t="inlineStr">
        <is>
          <t>Described as blending tradition with modern culinary presentation — Model Town referral cluster per sales-kit area logic.</t>
        </is>
      </c>
      <c r="P43" s="5" t="n"/>
      <c r="Q43" s="6" t="n"/>
      <c r="R43" s="6" t="inlineStr">
        <is>
          <t>Verify it still fits (priority C), then first contact</t>
        </is>
      </c>
      <c r="S43" s="5" t="n"/>
    </row>
    <row r="44">
      <c r="A44" s="6" t="inlineStr">
        <is>
          <t>Model Town Club</t>
        </is>
      </c>
      <c r="B44" s="6" t="inlineStr">
        <is>
          <t>Model Town</t>
        </is>
      </c>
      <c r="C44" s="6" t="inlineStr">
        <is>
          <t>Restaurant / club dining</t>
        </is>
      </c>
      <c r="D44" s="6" t="n"/>
      <c r="E44" s="6" t="n"/>
      <c r="F44" s="6" t="n"/>
      <c r="G44" s="6" t="n"/>
      <c r="H44" s="6" t="n"/>
      <c r="I44" s="5" t="n"/>
      <c r="J44" s="6" t="n"/>
      <c r="K44" s="5" t="n"/>
      <c r="L44" s="6" t="inlineStr">
        <is>
          <t>To contact</t>
        </is>
      </c>
      <c r="M44" s="6" t="n"/>
      <c r="N44" s="5" t="n"/>
      <c r="O44" s="6" t="inlineStr">
        <is>
          <t>BBQ, kebabs and an international menu inside a members' club — check decision-maker access (club vs. owner-operator) before pitching.</t>
        </is>
      </c>
      <c r="P44" s="5" t="n"/>
      <c r="Q44" s="6" t="n"/>
      <c r="R44" s="6" t="inlineStr">
        <is>
          <t>Verify it still fits (priority C), then first contact</t>
        </is>
      </c>
      <c r="S44" s="5" t="n"/>
    </row>
    <row r="45">
      <c r="A45" s="6" t="inlineStr">
        <is>
          <t>Cafe Grand</t>
        </is>
      </c>
      <c r="B45" s="6" t="inlineStr">
        <is>
          <t>Bahria Town (Sector B, Bahria Grand Hotel)</t>
        </is>
      </c>
      <c r="C45" s="6" t="inlineStr">
        <is>
          <t>Fine dining / gourmet casual</t>
        </is>
      </c>
      <c r="D45" s="6" t="n"/>
      <c r="E45" s="6" t="n"/>
      <c r="F45" s="6" t="n"/>
      <c r="G45" s="6" t="n"/>
      <c r="H45" s="6" t="n"/>
      <c r="I45" s="5" t="n"/>
      <c r="J45" s="6" t="n"/>
      <c r="K45" s="5" t="n"/>
      <c r="L45" s="6" t="inlineStr">
        <is>
          <t>To contact</t>
        </is>
      </c>
      <c r="M45" s="6" t="n"/>
      <c r="N45" s="5" t="n"/>
      <c r="O45" s="6" t="inlineStr">
        <is>
          <t>Called the best casual-gourmet spot in Bahria Town in one source — hotel-based, so confirm who actually decides on a paid pilot.</t>
        </is>
      </c>
      <c r="P45" s="5" t="n"/>
      <c r="Q45" s="6" t="n"/>
      <c r="R45" s="6" t="inlineStr">
        <is>
          <t>Verify it still fits (priority C), then first contact</t>
        </is>
      </c>
      <c r="S45" s="5" t="n"/>
    </row>
    <row r="46">
      <c r="A46" s="6" t="inlineStr">
        <is>
          <t>Mei Kong</t>
        </is>
      </c>
      <c r="B46" s="6" t="inlineStr">
        <is>
          <t>Bahria Town (Sector C Commercial)</t>
        </is>
      </c>
      <c r="C46" s="6" t="inlineStr">
        <is>
          <t>Fine dining / Chinese-Asian</t>
        </is>
      </c>
      <c r="D46" s="6" t="n"/>
      <c r="E46" s="6" t="n"/>
      <c r="F46" s="6" t="n"/>
      <c r="G46" s="6" t="n"/>
      <c r="H46" s="6" t="n"/>
      <c r="I46" s="5" t="n"/>
      <c r="J46" s="6" t="n"/>
      <c r="K46" s="5" t="n"/>
      <c r="L46" s="6" t="inlineStr">
        <is>
          <t>To contact</t>
        </is>
      </c>
      <c r="M46" s="6" t="n"/>
      <c r="N46" s="5" t="n"/>
      <c r="O46" s="6" t="inlineStr">
        <is>
          <t>Described as upscale Chinese/Asian dining — newer commercial area, less marketing-tech saturation.</t>
        </is>
      </c>
      <c r="P46" s="5" t="n"/>
      <c r="Q46" s="6" t="n"/>
      <c r="R46" s="6" t="inlineStr">
        <is>
          <t>Verify it still fits (priority C), then first contact</t>
        </is>
      </c>
      <c r="S46" s="5" t="n"/>
    </row>
    <row r="47">
      <c r="A47" s="6" t="inlineStr">
        <is>
          <t>The Monal</t>
        </is>
      </c>
      <c r="B47" s="6" t="inlineStr">
        <is>
          <t>Bahria Town</t>
        </is>
      </c>
      <c r="C47" s="6" t="inlineStr">
        <is>
          <t>Rooftop / multi-cuisine</t>
        </is>
      </c>
      <c r="D47" s="6" t="n"/>
      <c r="E47" s="6" t="n"/>
      <c r="F47" s="6" t="n"/>
      <c r="G47" s="6" t="n"/>
      <c r="H47" s="6" t="n"/>
      <c r="I47" s="5" t="n"/>
      <c r="J47" s="6" t="n"/>
      <c r="K47" s="5" t="n"/>
      <c r="L47" s="6" t="inlineStr">
        <is>
          <t>To contact</t>
        </is>
      </c>
      <c r="M47" s="6" t="n"/>
      <c r="N47" s="5" t="n"/>
      <c r="O47" s="6" t="inlineStr">
        <is>
          <t>Rooftop view dining (Pakistani/Chinese/continental) — check for a hero dish worth an AR scan.</t>
        </is>
      </c>
      <c r="P47" s="5" t="n"/>
      <c r="Q47" s="6" t="n"/>
      <c r="R47" s="6" t="inlineStr">
        <is>
          <t>Verify it still fits (priority C), then first contact</t>
        </is>
      </c>
      <c r="S47" s="5" t="n"/>
    </row>
    <row r="48">
      <c r="A48" s="6" t="inlineStr">
        <is>
          <t>Ginsoy</t>
        </is>
      </c>
      <c r="B48" s="6" t="inlineStr">
        <is>
          <t>Bahria Town</t>
        </is>
      </c>
      <c r="C48" s="6" t="inlineStr">
        <is>
          <t>Fine dining / Chinese-Thai</t>
        </is>
      </c>
      <c r="D48" s="6" t="n"/>
      <c r="E48" s="6" t="n"/>
      <c r="F48" s="6" t="n"/>
      <c r="G48" s="6" t="n"/>
      <c r="H48" s="6" t="n"/>
      <c r="I48" s="5" t="n"/>
      <c r="J48" s="6" t="n"/>
      <c r="K48" s="5" t="n"/>
      <c r="L48" s="6" t="inlineStr">
        <is>
          <t>To contact</t>
        </is>
      </c>
      <c r="M48" s="6" t="n"/>
      <c r="N48" s="5" t="n"/>
      <c r="O48" s="6" t="inlineStr">
        <is>
          <t>Asian cuisine spot called out as a strong option in Bahria Town.</t>
        </is>
      </c>
      <c r="P48" s="5" t="n"/>
      <c r="Q48" s="6" t="n"/>
      <c r="R48" s="6" t="inlineStr">
        <is>
          <t>Verify it still fits (priority C), then first contact</t>
        </is>
      </c>
      <c r="S48" s="5" t="n"/>
    </row>
    <row r="49">
      <c r="A49" s="6" t="inlineStr">
        <is>
          <t>Waleed's Kitchen</t>
        </is>
      </c>
      <c r="B49" s="6" t="inlineStr">
        <is>
          <t>PIA Road</t>
        </is>
      </c>
      <c r="C49" s="6" t="inlineStr">
        <is>
          <t>New opening</t>
        </is>
      </c>
      <c r="D49" s="6" t="n"/>
      <c r="E49" s="6" t="n"/>
      <c r="F49" s="6" t="n"/>
      <c r="G49" s="6" t="n"/>
      <c r="H49" s="6" t="n"/>
      <c r="I49" s="5" t="n"/>
      <c r="J49" s="6" t="n"/>
      <c r="K49" s="5" t="n"/>
      <c r="L49" s="6" t="inlineStr">
        <is>
          <t>To contact</t>
        </is>
      </c>
      <c r="M49" s="6" t="n"/>
      <c r="N49" s="5" t="n"/>
      <c r="O49" s="6" t="inlineStr">
        <is>
          <t>Reported as a new food spot on PIA Road — category and hero dish unconfirmed, screen before pitching.</t>
        </is>
      </c>
      <c r="P49" s="5" t="n"/>
      <c r="Q49" s="6" t="n"/>
      <c r="R49" s="6" t="inlineStr">
        <is>
          <t>Verify it still fits (priority C), then first contact</t>
        </is>
      </c>
      <c r="S49" s="5" t="n"/>
    </row>
    <row r="50">
      <c r="A50" s="6" t="inlineStr">
        <is>
          <t>Chow Ming</t>
        </is>
      </c>
      <c r="B50" s="6" t="inlineStr">
        <is>
          <t>DHA Phase 4, Bahria Town, Johar Town</t>
        </is>
      </c>
      <c r="C50" s="6" t="inlineStr">
        <is>
          <t>Casual dining / multi-branch</t>
        </is>
      </c>
      <c r="D50" s="6" t="n"/>
      <c r="E50" s="6" t="n"/>
      <c r="F50" s="6" t="n"/>
      <c r="G50" s="6" t="inlineStr">
        <is>
          <t>chowmingpk</t>
        </is>
      </c>
      <c r="H50" s="6" t="n"/>
      <c r="I50" s="5" t="n"/>
      <c r="J50" s="6" t="n"/>
      <c r="K50" s="5" t="n"/>
      <c r="L50" s="6" t="inlineStr">
        <is>
          <t>To contact</t>
        </is>
      </c>
      <c r="M50" s="6" t="n"/>
      <c r="N50" s="5" t="n"/>
      <c r="O50" s="6" t="inlineStr">
        <is>
          <t>Multi-branch casual chain with an active Instagram presence — per screening criteria, multi-branch chains are a slower first-90-days approval, so treat as a later-stage lead.</t>
        </is>
      </c>
      <c r="P50" s="5" t="n"/>
      <c r="Q50" s="6" t="n"/>
      <c r="R50" s="6" t="inlineStr">
        <is>
          <t>Verify it still fits (priority C), then first contact</t>
        </is>
      </c>
      <c r="S50" s="5" t="n"/>
    </row>
    <row r="51">
      <c r="A51" s="6" t="inlineStr">
        <is>
          <t>Meat The Cheese</t>
        </is>
      </c>
      <c r="B51" s="6" t="inlineStr">
        <is>
          <t>Gulberg</t>
        </is>
      </c>
      <c r="C51" s="6" t="inlineStr">
        <is>
          <t>Casual dining / grill</t>
        </is>
      </c>
      <c r="D51" s="6" t="n"/>
      <c r="E51" s="6" t="n"/>
      <c r="F51" s="6" t="n"/>
      <c r="G51" s="6" t="n"/>
      <c r="H51" s="6" t="n"/>
      <c r="I51" s="5" t="n"/>
      <c r="J51" s="6" t="n"/>
      <c r="K51" s="5" t="n"/>
      <c r="L51" s="6" t="inlineStr">
        <is>
          <t>To contact</t>
        </is>
      </c>
      <c r="M51" s="6" t="n"/>
      <c r="N51" s="5" t="n"/>
      <c r="O51" s="6" t="inlineStr">
        <is>
          <t>Listed among Gulberg's dine-in destinations — verify current hero dish and table-service format.</t>
        </is>
      </c>
      <c r="P51" s="5" t="n"/>
      <c r="Q51" s="6" t="n"/>
      <c r="R51" s="6" t="inlineStr">
        <is>
          <t>Verify it still fits (priority C), then first contact</t>
        </is>
      </c>
      <c r="S51" s="5" t="n"/>
    </row>
    <row r="52">
      <c r="A52" s="6" t="inlineStr">
        <is>
          <t>The Brasserie</t>
        </is>
      </c>
      <c r="B52" s="6" t="inlineStr">
        <is>
          <t>Gulberg</t>
        </is>
      </c>
      <c r="C52" s="6" t="inlineStr">
        <is>
          <t>Casual dining</t>
        </is>
      </c>
      <c r="D52" s="6" t="n"/>
      <c r="E52" s="6" t="n"/>
      <c r="F52" s="6" t="n"/>
      <c r="G52" s="6" t="n"/>
      <c r="H52" s="6" t="n"/>
      <c r="I52" s="5" t="n"/>
      <c r="J52" s="6" t="n"/>
      <c r="K52" s="5" t="n"/>
      <c r="L52" s="6" t="inlineStr">
        <is>
          <t>To contact</t>
        </is>
      </c>
      <c r="M52" s="6" t="n"/>
      <c r="N52" s="5" t="n"/>
      <c r="O52" s="6" t="inlineStr">
        <is>
          <t>Listed among Gulberg's dine-in destinations — verify current concept and menu format.</t>
        </is>
      </c>
      <c r="P52" s="5" t="n"/>
      <c r="Q52" s="6" t="n"/>
      <c r="R52" s="6" t="inlineStr">
        <is>
          <t>Verify it still fits (priority C), then first contact</t>
        </is>
      </c>
      <c r="S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5" t="n"/>
      <c r="J53" s="6" t="n"/>
      <c r="K53" s="5" t="n"/>
      <c r="L53" s="6" t="n"/>
      <c r="M53" s="6" t="n"/>
      <c r="N53" s="5" t="n"/>
      <c r="O53" s="6" t="n"/>
      <c r="P53" s="5" t="n"/>
      <c r="Q53" s="6" t="n"/>
      <c r="R53" s="6" t="n"/>
      <c r="S53" s="5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5" t="n"/>
      <c r="J54" s="6" t="n"/>
      <c r="K54" s="5" t="n"/>
      <c r="L54" s="6" t="n"/>
      <c r="M54" s="6" t="n"/>
      <c r="N54" s="5" t="n"/>
      <c r="O54" s="6" t="n"/>
      <c r="P54" s="5" t="n"/>
      <c r="Q54" s="6" t="n"/>
      <c r="R54" s="6" t="n"/>
      <c r="S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5" t="n"/>
      <c r="J55" s="6" t="n"/>
      <c r="K55" s="5" t="n"/>
      <c r="L55" s="6" t="n"/>
      <c r="M55" s="6" t="n"/>
      <c r="N55" s="5" t="n"/>
      <c r="O55" s="6" t="n"/>
      <c r="P55" s="5" t="n"/>
      <c r="Q55" s="6" t="n"/>
      <c r="R55" s="6" t="n"/>
      <c r="S55" s="5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5" t="n"/>
      <c r="J56" s="6" t="n"/>
      <c r="K56" s="5" t="n"/>
      <c r="L56" s="6" t="n"/>
      <c r="M56" s="6" t="n"/>
      <c r="N56" s="5" t="n"/>
      <c r="O56" s="6" t="n"/>
      <c r="P56" s="5" t="n"/>
      <c r="Q56" s="6" t="n"/>
      <c r="R56" s="6" t="n"/>
      <c r="S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5" t="n"/>
      <c r="J57" s="6" t="n"/>
      <c r="K57" s="5" t="n"/>
      <c r="L57" s="6" t="n"/>
      <c r="M57" s="6" t="n"/>
      <c r="N57" s="5" t="n"/>
      <c r="O57" s="6" t="n"/>
      <c r="P57" s="5" t="n"/>
      <c r="Q57" s="6" t="n"/>
      <c r="R57" s="6" t="n"/>
      <c r="S57" s="5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5" t="n"/>
      <c r="J58" s="6" t="n"/>
      <c r="K58" s="5" t="n"/>
      <c r="L58" s="6" t="n"/>
      <c r="M58" s="6" t="n"/>
      <c r="N58" s="5" t="n"/>
      <c r="O58" s="6" t="n"/>
      <c r="P58" s="5" t="n"/>
      <c r="Q58" s="6" t="n"/>
      <c r="R58" s="6" t="n"/>
      <c r="S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5" t="n"/>
      <c r="J59" s="6" t="n"/>
      <c r="K59" s="5" t="n"/>
      <c r="L59" s="6" t="n"/>
      <c r="M59" s="6" t="n"/>
      <c r="N59" s="5" t="n"/>
      <c r="O59" s="6" t="n"/>
      <c r="P59" s="5" t="n"/>
      <c r="Q59" s="6" t="n"/>
      <c r="R59" s="6" t="n"/>
      <c r="S59" s="5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5" t="n"/>
      <c r="J60" s="6" t="n"/>
      <c r="K60" s="5" t="n"/>
      <c r="L60" s="6" t="n"/>
      <c r="M60" s="6" t="n"/>
      <c r="N60" s="5" t="n"/>
      <c r="O60" s="6" t="n"/>
      <c r="P60" s="5" t="n"/>
      <c r="Q60" s="6" t="n"/>
      <c r="R60" s="6" t="n"/>
      <c r="S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5" t="n"/>
      <c r="J61" s="6" t="n"/>
      <c r="K61" s="5" t="n"/>
      <c r="L61" s="6" t="n"/>
      <c r="M61" s="6" t="n"/>
      <c r="N61" s="5" t="n"/>
      <c r="O61" s="6" t="n"/>
      <c r="P61" s="5" t="n"/>
      <c r="Q61" s="6" t="n"/>
      <c r="R61" s="6" t="n"/>
      <c r="S61" s="5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5" t="n"/>
      <c r="J62" s="6" t="n"/>
      <c r="K62" s="5" t="n"/>
      <c r="L62" s="6" t="n"/>
      <c r="M62" s="6" t="n"/>
      <c r="N62" s="5" t="n"/>
      <c r="O62" s="6" t="n"/>
      <c r="P62" s="5" t="n"/>
      <c r="Q62" s="6" t="n"/>
      <c r="R62" s="6" t="n"/>
      <c r="S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5" t="n"/>
      <c r="J63" s="6" t="n"/>
      <c r="K63" s="5" t="n"/>
      <c r="L63" s="6" t="n"/>
      <c r="M63" s="6" t="n"/>
      <c r="N63" s="5" t="n"/>
      <c r="O63" s="6" t="n"/>
      <c r="P63" s="5" t="n"/>
      <c r="Q63" s="6" t="n"/>
      <c r="R63" s="6" t="n"/>
      <c r="S63" s="5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5" t="n"/>
      <c r="J64" s="6" t="n"/>
      <c r="K64" s="5" t="n"/>
      <c r="L64" s="6" t="n"/>
      <c r="M64" s="6" t="n"/>
      <c r="N64" s="5" t="n"/>
      <c r="O64" s="6" t="n"/>
      <c r="P64" s="5" t="n"/>
      <c r="Q64" s="6" t="n"/>
      <c r="R64" s="6" t="n"/>
      <c r="S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5" t="n"/>
      <c r="J65" s="6" t="n"/>
      <c r="K65" s="5" t="n"/>
      <c r="L65" s="6" t="n"/>
      <c r="M65" s="6" t="n"/>
      <c r="N65" s="5" t="n"/>
      <c r="O65" s="6" t="n"/>
      <c r="P65" s="5" t="n"/>
      <c r="Q65" s="6" t="n"/>
      <c r="R65" s="6" t="n"/>
      <c r="S65" s="5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5" t="n"/>
      <c r="J66" s="6" t="n"/>
      <c r="K66" s="5" t="n"/>
      <c r="L66" s="6" t="n"/>
      <c r="M66" s="6" t="n"/>
      <c r="N66" s="5" t="n"/>
      <c r="O66" s="6" t="n"/>
      <c r="P66" s="5" t="n"/>
      <c r="Q66" s="6" t="n"/>
      <c r="R66" s="6" t="n"/>
      <c r="S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5" t="n"/>
      <c r="J67" s="6" t="n"/>
      <c r="K67" s="5" t="n"/>
      <c r="L67" s="6" t="n"/>
      <c r="M67" s="6" t="n"/>
      <c r="N67" s="5" t="n"/>
      <c r="O67" s="6" t="n"/>
      <c r="P67" s="5" t="n"/>
      <c r="Q67" s="6" t="n"/>
      <c r="R67" s="6" t="n"/>
      <c r="S67" s="5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5" t="n"/>
      <c r="J68" s="6" t="n"/>
      <c r="K68" s="5" t="n"/>
      <c r="L68" s="6" t="n"/>
      <c r="M68" s="6" t="n"/>
      <c r="N68" s="5" t="n"/>
      <c r="O68" s="6" t="n"/>
      <c r="P68" s="5" t="n"/>
      <c r="Q68" s="6" t="n"/>
      <c r="R68" s="6" t="n"/>
      <c r="S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5" t="n"/>
      <c r="J69" s="6" t="n"/>
      <c r="K69" s="5" t="n"/>
      <c r="L69" s="6" t="n"/>
      <c r="M69" s="6" t="n"/>
      <c r="N69" s="5" t="n"/>
      <c r="O69" s="6" t="n"/>
      <c r="P69" s="5" t="n"/>
      <c r="Q69" s="6" t="n"/>
      <c r="R69" s="6" t="n"/>
      <c r="S69" s="5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5" t="n"/>
      <c r="J70" s="6" t="n"/>
      <c r="K70" s="5" t="n"/>
      <c r="L70" s="6" t="n"/>
      <c r="M70" s="6" t="n"/>
      <c r="N70" s="5" t="n"/>
      <c r="O70" s="6" t="n"/>
      <c r="P70" s="5" t="n"/>
      <c r="Q70" s="6" t="n"/>
      <c r="R70" s="6" t="n"/>
      <c r="S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5" t="n"/>
      <c r="J71" s="6" t="n"/>
      <c r="K71" s="5" t="n"/>
      <c r="L71" s="6" t="n"/>
      <c r="M71" s="6" t="n"/>
      <c r="N71" s="5" t="n"/>
      <c r="O71" s="6" t="n"/>
      <c r="P71" s="5" t="n"/>
      <c r="Q71" s="6" t="n"/>
      <c r="R71" s="6" t="n"/>
      <c r="S71" s="5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5" t="n"/>
      <c r="J72" s="6" t="n"/>
      <c r="K72" s="5" t="n"/>
      <c r="L72" s="6" t="n"/>
      <c r="M72" s="6" t="n"/>
      <c r="N72" s="5" t="n"/>
      <c r="O72" s="6" t="n"/>
      <c r="P72" s="5" t="n"/>
      <c r="Q72" s="6" t="n"/>
      <c r="R72" s="6" t="n"/>
      <c r="S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5" t="n"/>
      <c r="J73" s="6" t="n"/>
      <c r="K73" s="5" t="n"/>
      <c r="L73" s="6" t="n"/>
      <c r="M73" s="6" t="n"/>
      <c r="N73" s="5" t="n"/>
      <c r="O73" s="6" t="n"/>
      <c r="P73" s="5" t="n"/>
      <c r="Q73" s="6" t="n"/>
      <c r="R73" s="6" t="n"/>
      <c r="S73" s="5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5" t="n"/>
      <c r="J74" s="6" t="n"/>
      <c r="K74" s="5" t="n"/>
      <c r="L74" s="6" t="n"/>
      <c r="M74" s="6" t="n"/>
      <c r="N74" s="5" t="n"/>
      <c r="O74" s="6" t="n"/>
      <c r="P74" s="5" t="n"/>
      <c r="Q74" s="6" t="n"/>
      <c r="R74" s="6" t="n"/>
      <c r="S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5" t="n"/>
      <c r="J75" s="6" t="n"/>
      <c r="K75" s="5" t="n"/>
      <c r="L75" s="6" t="n"/>
      <c r="M75" s="6" t="n"/>
      <c r="N75" s="5" t="n"/>
      <c r="O75" s="6" t="n"/>
      <c r="P75" s="5" t="n"/>
      <c r="Q75" s="6" t="n"/>
      <c r="R75" s="6" t="n"/>
      <c r="S75" s="5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5" t="n"/>
      <c r="J76" s="6" t="n"/>
      <c r="K76" s="5" t="n"/>
      <c r="L76" s="6" t="n"/>
      <c r="M76" s="6" t="n"/>
      <c r="N76" s="5" t="n"/>
      <c r="O76" s="6" t="n"/>
      <c r="P76" s="5" t="n"/>
      <c r="Q76" s="6" t="n"/>
      <c r="R76" s="6" t="n"/>
      <c r="S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5" t="n"/>
      <c r="J77" s="6" t="n"/>
      <c r="K77" s="5" t="n"/>
      <c r="L77" s="6" t="n"/>
      <c r="M77" s="6" t="n"/>
      <c r="N77" s="5" t="n"/>
      <c r="O77" s="6" t="n"/>
      <c r="P77" s="5" t="n"/>
      <c r="Q77" s="6" t="n"/>
      <c r="R77" s="6" t="n"/>
      <c r="S77" s="5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5" t="n"/>
      <c r="J78" s="6" t="n"/>
      <c r="K78" s="5" t="n"/>
      <c r="L78" s="6" t="n"/>
      <c r="M78" s="6" t="n"/>
      <c r="N78" s="5" t="n"/>
      <c r="O78" s="6" t="n"/>
      <c r="P78" s="5" t="n"/>
      <c r="Q78" s="6" t="n"/>
      <c r="R78" s="6" t="n"/>
      <c r="S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5" t="n"/>
      <c r="J79" s="6" t="n"/>
      <c r="K79" s="5" t="n"/>
      <c r="L79" s="6" t="n"/>
      <c r="M79" s="6" t="n"/>
      <c r="N79" s="5" t="n"/>
      <c r="O79" s="6" t="n"/>
      <c r="P79" s="5" t="n"/>
      <c r="Q79" s="6" t="n"/>
      <c r="R79" s="6" t="n"/>
      <c r="S79" s="5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5" t="n"/>
      <c r="J80" s="6" t="n"/>
      <c r="K80" s="5" t="n"/>
      <c r="L80" s="6" t="n"/>
      <c r="M80" s="6" t="n"/>
      <c r="N80" s="5" t="n"/>
      <c r="O80" s="6" t="n"/>
      <c r="P80" s="5" t="n"/>
      <c r="Q80" s="6" t="n"/>
      <c r="R80" s="6" t="n"/>
      <c r="S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5" t="n"/>
      <c r="J81" s="6" t="n"/>
      <c r="K81" s="5" t="n"/>
      <c r="L81" s="6" t="n"/>
      <c r="M81" s="6" t="n"/>
      <c r="N81" s="5" t="n"/>
      <c r="O81" s="6" t="n"/>
      <c r="P81" s="5" t="n"/>
      <c r="Q81" s="6" t="n"/>
      <c r="R81" s="6" t="n"/>
      <c r="S81" s="5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5" t="n"/>
      <c r="J82" s="6" t="n"/>
      <c r="K82" s="5" t="n"/>
      <c r="L82" s="6" t="n"/>
      <c r="M82" s="6" t="n"/>
      <c r="N82" s="5" t="n"/>
      <c r="O82" s="6" t="n"/>
      <c r="P82" s="5" t="n"/>
      <c r="Q82" s="6" t="n"/>
      <c r="R82" s="6" t="n"/>
      <c r="S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5" t="n"/>
      <c r="J83" s="6" t="n"/>
      <c r="K83" s="5" t="n"/>
      <c r="L83" s="6" t="n"/>
      <c r="M83" s="6" t="n"/>
      <c r="N83" s="5" t="n"/>
      <c r="O83" s="6" t="n"/>
      <c r="P83" s="5" t="n"/>
      <c r="Q83" s="6" t="n"/>
      <c r="R83" s="6" t="n"/>
      <c r="S83" s="5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5" t="n"/>
      <c r="J84" s="6" t="n"/>
      <c r="K84" s="5" t="n"/>
      <c r="L84" s="6" t="n"/>
      <c r="M84" s="6" t="n"/>
      <c r="N84" s="5" t="n"/>
      <c r="O84" s="6" t="n"/>
      <c r="P84" s="5" t="n"/>
      <c r="Q84" s="6" t="n"/>
      <c r="R84" s="6" t="n"/>
      <c r="S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5" t="n"/>
      <c r="J85" s="6" t="n"/>
      <c r="K85" s="5" t="n"/>
      <c r="L85" s="6" t="n"/>
      <c r="M85" s="6" t="n"/>
      <c r="N85" s="5" t="n"/>
      <c r="O85" s="6" t="n"/>
      <c r="P85" s="5" t="n"/>
      <c r="Q85" s="6" t="n"/>
      <c r="R85" s="6" t="n"/>
      <c r="S85" s="5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5" t="n"/>
      <c r="J86" s="6" t="n"/>
      <c r="K86" s="5" t="n"/>
      <c r="L86" s="6" t="n"/>
      <c r="M86" s="6" t="n"/>
      <c r="N86" s="5" t="n"/>
      <c r="O86" s="6" t="n"/>
      <c r="P86" s="5" t="n"/>
      <c r="Q86" s="6" t="n"/>
      <c r="R86" s="6" t="n"/>
      <c r="S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5" t="n"/>
      <c r="J87" s="6" t="n"/>
      <c r="K87" s="5" t="n"/>
      <c r="L87" s="6" t="n"/>
      <c r="M87" s="6" t="n"/>
      <c r="N87" s="5" t="n"/>
      <c r="O87" s="6" t="n"/>
      <c r="P87" s="5" t="n"/>
      <c r="Q87" s="6" t="n"/>
      <c r="R87" s="6" t="n"/>
      <c r="S87" s="5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5" t="n"/>
      <c r="J88" s="6" t="n"/>
      <c r="K88" s="5" t="n"/>
      <c r="L88" s="6" t="n"/>
      <c r="M88" s="6" t="n"/>
      <c r="N88" s="5" t="n"/>
      <c r="O88" s="6" t="n"/>
      <c r="P88" s="5" t="n"/>
      <c r="Q88" s="6" t="n"/>
      <c r="R88" s="6" t="n"/>
      <c r="S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5" t="n"/>
      <c r="J89" s="6" t="n"/>
      <c r="K89" s="5" t="n"/>
      <c r="L89" s="6" t="n"/>
      <c r="M89" s="6" t="n"/>
      <c r="N89" s="5" t="n"/>
      <c r="O89" s="6" t="n"/>
      <c r="P89" s="5" t="n"/>
      <c r="Q89" s="6" t="n"/>
      <c r="R89" s="6" t="n"/>
      <c r="S89" s="5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5" t="n"/>
      <c r="J90" s="6" t="n"/>
      <c r="K90" s="5" t="n"/>
      <c r="L90" s="6" t="n"/>
      <c r="M90" s="6" t="n"/>
      <c r="N90" s="5" t="n"/>
      <c r="O90" s="6" t="n"/>
      <c r="P90" s="5" t="n"/>
      <c r="Q90" s="6" t="n"/>
      <c r="R90" s="6" t="n"/>
      <c r="S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5" t="n"/>
      <c r="J91" s="6" t="n"/>
      <c r="K91" s="5" t="n"/>
      <c r="L91" s="6" t="n"/>
      <c r="M91" s="6" t="n"/>
      <c r="N91" s="5" t="n"/>
      <c r="O91" s="6" t="n"/>
      <c r="P91" s="5" t="n"/>
      <c r="Q91" s="6" t="n"/>
      <c r="R91" s="6" t="n"/>
      <c r="S91" s="5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5" t="n"/>
      <c r="J92" s="6" t="n"/>
      <c r="K92" s="5" t="n"/>
      <c r="L92" s="6" t="n"/>
      <c r="M92" s="6" t="n"/>
      <c r="N92" s="5" t="n"/>
      <c r="O92" s="6" t="n"/>
      <c r="P92" s="5" t="n"/>
      <c r="Q92" s="6" t="n"/>
      <c r="R92" s="6" t="n"/>
      <c r="S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5" t="n"/>
      <c r="J93" s="6" t="n"/>
      <c r="K93" s="5" t="n"/>
      <c r="L93" s="6" t="n"/>
      <c r="M93" s="6" t="n"/>
      <c r="N93" s="5" t="n"/>
      <c r="O93" s="6" t="n"/>
      <c r="P93" s="5" t="n"/>
      <c r="Q93" s="6" t="n"/>
      <c r="R93" s="6" t="n"/>
      <c r="S93" s="5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5" t="n"/>
      <c r="J94" s="6" t="n"/>
      <c r="K94" s="5" t="n"/>
      <c r="L94" s="6" t="n"/>
      <c r="M94" s="6" t="n"/>
      <c r="N94" s="5" t="n"/>
      <c r="O94" s="6" t="n"/>
      <c r="P94" s="5" t="n"/>
      <c r="Q94" s="6" t="n"/>
      <c r="R94" s="6" t="n"/>
      <c r="S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5" t="n"/>
      <c r="J95" s="6" t="n"/>
      <c r="K95" s="5" t="n"/>
      <c r="L95" s="6" t="n"/>
      <c r="M95" s="6" t="n"/>
      <c r="N95" s="5" t="n"/>
      <c r="O95" s="6" t="n"/>
      <c r="P95" s="5" t="n"/>
      <c r="Q95" s="6" t="n"/>
      <c r="R95" s="6" t="n"/>
      <c r="S95" s="5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5" t="n"/>
      <c r="J96" s="6" t="n"/>
      <c r="K96" s="5" t="n"/>
      <c r="L96" s="6" t="n"/>
      <c r="M96" s="6" t="n"/>
      <c r="N96" s="5" t="n"/>
      <c r="O96" s="6" t="n"/>
      <c r="P96" s="5" t="n"/>
      <c r="Q96" s="6" t="n"/>
      <c r="R96" s="6" t="n"/>
      <c r="S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5" t="n"/>
      <c r="J97" s="6" t="n"/>
      <c r="K97" s="5" t="n"/>
      <c r="L97" s="6" t="n"/>
      <c r="M97" s="6" t="n"/>
      <c r="N97" s="5" t="n"/>
      <c r="O97" s="6" t="n"/>
      <c r="P97" s="5" t="n"/>
      <c r="Q97" s="6" t="n"/>
      <c r="R97" s="6" t="n"/>
      <c r="S97" s="5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5" t="n"/>
      <c r="J98" s="6" t="n"/>
      <c r="K98" s="5" t="n"/>
      <c r="L98" s="6" t="n"/>
      <c r="M98" s="6" t="n"/>
      <c r="N98" s="5" t="n"/>
      <c r="O98" s="6" t="n"/>
      <c r="P98" s="5" t="n"/>
      <c r="Q98" s="6" t="n"/>
      <c r="R98" s="6" t="n"/>
      <c r="S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5" t="n"/>
      <c r="J99" s="6" t="n"/>
      <c r="K99" s="5" t="n"/>
      <c r="L99" s="6" t="n"/>
      <c r="M99" s="6" t="n"/>
      <c r="N99" s="5" t="n"/>
      <c r="O99" s="6" t="n"/>
      <c r="P99" s="5" t="n"/>
      <c r="Q99" s="6" t="n"/>
      <c r="R99" s="6" t="n"/>
      <c r="S99" s="5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5" t="n"/>
      <c r="J100" s="6" t="n"/>
      <c r="K100" s="5" t="n"/>
      <c r="L100" s="6" t="n"/>
      <c r="M100" s="6" t="n"/>
      <c r="N100" s="5" t="n"/>
      <c r="O100" s="6" t="n"/>
      <c r="P100" s="5" t="n"/>
      <c r="Q100" s="6" t="n"/>
      <c r="R100" s="6" t="n"/>
      <c r="S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5" t="n"/>
      <c r="J101" s="6" t="n"/>
      <c r="K101" s="5" t="n"/>
      <c r="L101" s="6" t="n"/>
      <c r="M101" s="6" t="n"/>
      <c r="N101" s="5" t="n"/>
      <c r="O101" s="6" t="n"/>
      <c r="P101" s="5" t="n"/>
      <c r="Q101" s="6" t="n"/>
      <c r="R101" s="6" t="n"/>
      <c r="S101" s="5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5" t="n"/>
      <c r="J102" s="6" t="n"/>
      <c r="K102" s="5" t="n"/>
      <c r="L102" s="6" t="n"/>
      <c r="M102" s="6" t="n"/>
      <c r="N102" s="5" t="n"/>
      <c r="O102" s="6" t="n"/>
      <c r="P102" s="5" t="n"/>
      <c r="Q102" s="6" t="n"/>
      <c r="R102" s="6" t="n"/>
      <c r="S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5" t="n"/>
      <c r="J103" s="6" t="n"/>
      <c r="K103" s="5" t="n"/>
      <c r="L103" s="6" t="n"/>
      <c r="M103" s="6" t="n"/>
      <c r="N103" s="5" t="n"/>
      <c r="O103" s="6" t="n"/>
      <c r="P103" s="5" t="n"/>
      <c r="Q103" s="6" t="n"/>
      <c r="R103" s="6" t="n"/>
      <c r="S103" s="5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5" t="n"/>
      <c r="J104" s="6" t="n"/>
      <c r="K104" s="5" t="n"/>
      <c r="L104" s="6" t="n"/>
      <c r="M104" s="6" t="n"/>
      <c r="N104" s="5" t="n"/>
      <c r="O104" s="6" t="n"/>
      <c r="P104" s="5" t="n"/>
      <c r="Q104" s="6" t="n"/>
      <c r="R104" s="6" t="n"/>
      <c r="S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5" t="n"/>
      <c r="J105" s="6" t="n"/>
      <c r="K105" s="5" t="n"/>
      <c r="L105" s="6" t="n"/>
      <c r="M105" s="6" t="n"/>
      <c r="N105" s="5" t="n"/>
      <c r="O105" s="6" t="n"/>
      <c r="P105" s="5" t="n"/>
      <c r="Q105" s="6" t="n"/>
      <c r="R105" s="6" t="n"/>
      <c r="S105" s="5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5" t="n"/>
      <c r="J106" s="6" t="n"/>
      <c r="K106" s="5" t="n"/>
      <c r="L106" s="6" t="n"/>
      <c r="M106" s="6" t="n"/>
      <c r="N106" s="5" t="n"/>
      <c r="O106" s="6" t="n"/>
      <c r="P106" s="5" t="n"/>
      <c r="Q106" s="6" t="n"/>
      <c r="R106" s="6" t="n"/>
      <c r="S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5" t="n"/>
      <c r="J107" s="6" t="n"/>
      <c r="K107" s="5" t="n"/>
      <c r="L107" s="6" t="n"/>
      <c r="M107" s="6" t="n"/>
      <c r="N107" s="5" t="n"/>
      <c r="O107" s="6" t="n"/>
      <c r="P107" s="5" t="n"/>
      <c r="Q107" s="6" t="n"/>
      <c r="R107" s="6" t="n"/>
      <c r="S107" s="5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5" t="n"/>
      <c r="J108" s="6" t="n"/>
      <c r="K108" s="5" t="n"/>
      <c r="L108" s="6" t="n"/>
      <c r="M108" s="6" t="n"/>
      <c r="N108" s="5" t="n"/>
      <c r="O108" s="6" t="n"/>
      <c r="P108" s="5" t="n"/>
      <c r="Q108" s="6" t="n"/>
      <c r="R108" s="6" t="n"/>
      <c r="S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5" t="n"/>
      <c r="J109" s="6" t="n"/>
      <c r="K109" s="5" t="n"/>
      <c r="L109" s="6" t="n"/>
      <c r="M109" s="6" t="n"/>
      <c r="N109" s="5" t="n"/>
      <c r="O109" s="6" t="n"/>
      <c r="P109" s="5" t="n"/>
      <c r="Q109" s="6" t="n"/>
      <c r="R109" s="6" t="n"/>
      <c r="S109" s="5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5" t="n"/>
      <c r="J110" s="6" t="n"/>
      <c r="K110" s="5" t="n"/>
      <c r="L110" s="6" t="n"/>
      <c r="M110" s="6" t="n"/>
      <c r="N110" s="5" t="n"/>
      <c r="O110" s="6" t="n"/>
      <c r="P110" s="5" t="n"/>
      <c r="Q110" s="6" t="n"/>
      <c r="R110" s="6" t="n"/>
      <c r="S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5" t="n"/>
      <c r="J111" s="6" t="n"/>
      <c r="K111" s="5" t="n"/>
      <c r="L111" s="6" t="n"/>
      <c r="M111" s="6" t="n"/>
      <c r="N111" s="5" t="n"/>
      <c r="O111" s="6" t="n"/>
      <c r="P111" s="5" t="n"/>
      <c r="Q111" s="6" t="n"/>
      <c r="R111" s="6" t="n"/>
      <c r="S111" s="5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5" t="n"/>
      <c r="J112" s="6" t="n"/>
      <c r="K112" s="5" t="n"/>
      <c r="L112" s="6" t="n"/>
      <c r="M112" s="6" t="n"/>
      <c r="N112" s="5" t="n"/>
      <c r="O112" s="6" t="n"/>
      <c r="P112" s="5" t="n"/>
      <c r="Q112" s="6" t="n"/>
      <c r="R112" s="6" t="n"/>
      <c r="S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5" t="n"/>
      <c r="J113" s="6" t="n"/>
      <c r="K113" s="5" t="n"/>
      <c r="L113" s="6" t="n"/>
      <c r="M113" s="6" t="n"/>
      <c r="N113" s="5" t="n"/>
      <c r="O113" s="6" t="n"/>
      <c r="P113" s="5" t="n"/>
      <c r="Q113" s="6" t="n"/>
      <c r="R113" s="6" t="n"/>
      <c r="S113" s="5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5" t="n"/>
      <c r="J114" s="6" t="n"/>
      <c r="K114" s="5" t="n"/>
      <c r="L114" s="6" t="n"/>
      <c r="M114" s="6" t="n"/>
      <c r="N114" s="5" t="n"/>
      <c r="O114" s="6" t="n"/>
      <c r="P114" s="5" t="n"/>
      <c r="Q114" s="6" t="n"/>
      <c r="R114" s="6" t="n"/>
      <c r="S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5" t="n"/>
      <c r="J115" s="6" t="n"/>
      <c r="K115" s="5" t="n"/>
      <c r="L115" s="6" t="n"/>
      <c r="M115" s="6" t="n"/>
      <c r="N115" s="5" t="n"/>
      <c r="O115" s="6" t="n"/>
      <c r="P115" s="5" t="n"/>
      <c r="Q115" s="6" t="n"/>
      <c r="R115" s="6" t="n"/>
      <c r="S115" s="5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5" t="n"/>
      <c r="J116" s="6" t="n"/>
      <c r="K116" s="5" t="n"/>
      <c r="L116" s="6" t="n"/>
      <c r="M116" s="6" t="n"/>
      <c r="N116" s="5" t="n"/>
      <c r="O116" s="6" t="n"/>
      <c r="P116" s="5" t="n"/>
      <c r="Q116" s="6" t="n"/>
      <c r="R116" s="6" t="n"/>
      <c r="S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5" t="n"/>
      <c r="J117" s="6" t="n"/>
      <c r="K117" s="5" t="n"/>
      <c r="L117" s="6" t="n"/>
      <c r="M117" s="6" t="n"/>
      <c r="N117" s="5" t="n"/>
      <c r="O117" s="6" t="n"/>
      <c r="P117" s="5" t="n"/>
      <c r="Q117" s="6" t="n"/>
      <c r="R117" s="6" t="n"/>
      <c r="S117" s="5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5" t="n"/>
      <c r="J118" s="6" t="n"/>
      <c r="K118" s="5" t="n"/>
      <c r="L118" s="6" t="n"/>
      <c r="M118" s="6" t="n"/>
      <c r="N118" s="5" t="n"/>
      <c r="O118" s="6" t="n"/>
      <c r="P118" s="5" t="n"/>
      <c r="Q118" s="6" t="n"/>
      <c r="R118" s="6" t="n"/>
      <c r="S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5" t="n"/>
      <c r="J119" s="6" t="n"/>
      <c r="K119" s="5" t="n"/>
      <c r="L119" s="6" t="n"/>
      <c r="M119" s="6" t="n"/>
      <c r="N119" s="5" t="n"/>
      <c r="O119" s="6" t="n"/>
      <c r="P119" s="5" t="n"/>
      <c r="Q119" s="6" t="n"/>
      <c r="R119" s="6" t="n"/>
      <c r="S119" s="5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5" t="n"/>
      <c r="J120" s="6" t="n"/>
      <c r="K120" s="5" t="n"/>
      <c r="L120" s="6" t="n"/>
      <c r="M120" s="6" t="n"/>
      <c r="N120" s="5" t="n"/>
      <c r="O120" s="6" t="n"/>
      <c r="P120" s="5" t="n"/>
      <c r="Q120" s="6" t="n"/>
      <c r="R120" s="6" t="n"/>
      <c r="S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5" t="n"/>
      <c r="J121" s="6" t="n"/>
      <c r="K121" s="5" t="n"/>
      <c r="L121" s="6" t="n"/>
      <c r="M121" s="6" t="n"/>
      <c r="N121" s="5" t="n"/>
      <c r="O121" s="6" t="n"/>
      <c r="P121" s="5" t="n"/>
      <c r="Q121" s="6" t="n"/>
      <c r="R121" s="6" t="n"/>
      <c r="S121" s="5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5" t="n"/>
      <c r="J122" s="6" t="n"/>
      <c r="K122" s="5" t="n"/>
      <c r="L122" s="6" t="n"/>
      <c r="M122" s="6" t="n"/>
      <c r="N122" s="5" t="n"/>
      <c r="O122" s="6" t="n"/>
      <c r="P122" s="5" t="n"/>
      <c r="Q122" s="6" t="n"/>
      <c r="R122" s="6" t="n"/>
      <c r="S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5" t="n"/>
      <c r="J123" s="6" t="n"/>
      <c r="K123" s="5" t="n"/>
      <c r="L123" s="6" t="n"/>
      <c r="M123" s="6" t="n"/>
      <c r="N123" s="5" t="n"/>
      <c r="O123" s="6" t="n"/>
      <c r="P123" s="5" t="n"/>
      <c r="Q123" s="6" t="n"/>
      <c r="R123" s="6" t="n"/>
      <c r="S123" s="5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5" t="n"/>
      <c r="J124" s="6" t="n"/>
      <c r="K124" s="5" t="n"/>
      <c r="L124" s="6" t="n"/>
      <c r="M124" s="6" t="n"/>
      <c r="N124" s="5" t="n"/>
      <c r="O124" s="6" t="n"/>
      <c r="P124" s="5" t="n"/>
      <c r="Q124" s="6" t="n"/>
      <c r="R124" s="6" t="n"/>
      <c r="S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5" t="n"/>
      <c r="J125" s="6" t="n"/>
      <c r="K125" s="5" t="n"/>
      <c r="L125" s="6" t="n"/>
      <c r="M125" s="6" t="n"/>
      <c r="N125" s="5" t="n"/>
      <c r="O125" s="6" t="n"/>
      <c r="P125" s="5" t="n"/>
      <c r="Q125" s="6" t="n"/>
      <c r="R125" s="6" t="n"/>
      <c r="S125" s="5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5" t="n"/>
      <c r="J126" s="6" t="n"/>
      <c r="K126" s="5" t="n"/>
      <c r="L126" s="6" t="n"/>
      <c r="M126" s="6" t="n"/>
      <c r="N126" s="5" t="n"/>
      <c r="O126" s="6" t="n"/>
      <c r="P126" s="5" t="n"/>
      <c r="Q126" s="6" t="n"/>
      <c r="R126" s="6" t="n"/>
      <c r="S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5" t="n"/>
      <c r="J127" s="6" t="n"/>
      <c r="K127" s="5" t="n"/>
      <c r="L127" s="6" t="n"/>
      <c r="M127" s="6" t="n"/>
      <c r="N127" s="5" t="n"/>
      <c r="O127" s="6" t="n"/>
      <c r="P127" s="5" t="n"/>
      <c r="Q127" s="6" t="n"/>
      <c r="R127" s="6" t="n"/>
      <c r="S127" s="5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5" t="n"/>
      <c r="J128" s="6" t="n"/>
      <c r="K128" s="5" t="n"/>
      <c r="L128" s="6" t="n"/>
      <c r="M128" s="6" t="n"/>
      <c r="N128" s="5" t="n"/>
      <c r="O128" s="6" t="n"/>
      <c r="P128" s="5" t="n"/>
      <c r="Q128" s="6" t="n"/>
      <c r="R128" s="6" t="n"/>
      <c r="S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5" t="n"/>
      <c r="J129" s="6" t="n"/>
      <c r="K129" s="5" t="n"/>
      <c r="L129" s="6" t="n"/>
      <c r="M129" s="6" t="n"/>
      <c r="N129" s="5" t="n"/>
      <c r="O129" s="6" t="n"/>
      <c r="P129" s="5" t="n"/>
      <c r="Q129" s="6" t="n"/>
      <c r="R129" s="6" t="n"/>
      <c r="S129" s="5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5" t="n"/>
      <c r="J130" s="6" t="n"/>
      <c r="K130" s="5" t="n"/>
      <c r="L130" s="6" t="n"/>
      <c r="M130" s="6" t="n"/>
      <c r="N130" s="5" t="n"/>
      <c r="O130" s="6" t="n"/>
      <c r="P130" s="5" t="n"/>
      <c r="Q130" s="6" t="n"/>
      <c r="R130" s="6" t="n"/>
      <c r="S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5" t="n"/>
      <c r="J131" s="6" t="n"/>
      <c r="K131" s="5" t="n"/>
      <c r="L131" s="6" t="n"/>
      <c r="M131" s="6" t="n"/>
      <c r="N131" s="5" t="n"/>
      <c r="O131" s="6" t="n"/>
      <c r="P131" s="5" t="n"/>
      <c r="Q131" s="6" t="n"/>
      <c r="R131" s="6" t="n"/>
      <c r="S131" s="5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5" t="n"/>
      <c r="J132" s="6" t="n"/>
      <c r="K132" s="5" t="n"/>
      <c r="L132" s="6" t="n"/>
      <c r="M132" s="6" t="n"/>
      <c r="N132" s="5" t="n"/>
      <c r="O132" s="6" t="n"/>
      <c r="P132" s="5" t="n"/>
      <c r="Q132" s="6" t="n"/>
      <c r="R132" s="6" t="n"/>
      <c r="S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5" t="n"/>
      <c r="J133" s="6" t="n"/>
      <c r="K133" s="5" t="n"/>
      <c r="L133" s="6" t="n"/>
      <c r="M133" s="6" t="n"/>
      <c r="N133" s="5" t="n"/>
      <c r="O133" s="6" t="n"/>
      <c r="P133" s="5" t="n"/>
      <c r="Q133" s="6" t="n"/>
      <c r="R133" s="6" t="n"/>
      <c r="S133" s="5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5" t="n"/>
      <c r="J134" s="6" t="n"/>
      <c r="K134" s="5" t="n"/>
      <c r="L134" s="6" t="n"/>
      <c r="M134" s="6" t="n"/>
      <c r="N134" s="5" t="n"/>
      <c r="O134" s="6" t="n"/>
      <c r="P134" s="5" t="n"/>
      <c r="Q134" s="6" t="n"/>
      <c r="R134" s="6" t="n"/>
      <c r="S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5" t="n"/>
      <c r="J135" s="6" t="n"/>
      <c r="K135" s="5" t="n"/>
      <c r="L135" s="6" t="n"/>
      <c r="M135" s="6" t="n"/>
      <c r="N135" s="5" t="n"/>
      <c r="O135" s="6" t="n"/>
      <c r="P135" s="5" t="n"/>
      <c r="Q135" s="6" t="n"/>
      <c r="R135" s="6" t="n"/>
      <c r="S135" s="5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5" t="n"/>
      <c r="J136" s="6" t="n"/>
      <c r="K136" s="5" t="n"/>
      <c r="L136" s="6" t="n"/>
      <c r="M136" s="6" t="n"/>
      <c r="N136" s="5" t="n"/>
      <c r="O136" s="6" t="n"/>
      <c r="P136" s="5" t="n"/>
      <c r="Q136" s="6" t="n"/>
      <c r="R136" s="6" t="n"/>
      <c r="S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5" t="n"/>
      <c r="J137" s="6" t="n"/>
      <c r="K137" s="5" t="n"/>
      <c r="L137" s="6" t="n"/>
      <c r="M137" s="6" t="n"/>
      <c r="N137" s="5" t="n"/>
      <c r="O137" s="6" t="n"/>
      <c r="P137" s="5" t="n"/>
      <c r="Q137" s="6" t="n"/>
      <c r="R137" s="6" t="n"/>
      <c r="S137" s="5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5" t="n"/>
      <c r="J138" s="6" t="n"/>
      <c r="K138" s="5" t="n"/>
      <c r="L138" s="6" t="n"/>
      <c r="M138" s="6" t="n"/>
      <c r="N138" s="5" t="n"/>
      <c r="O138" s="6" t="n"/>
      <c r="P138" s="5" t="n"/>
      <c r="Q138" s="6" t="n"/>
      <c r="R138" s="6" t="n"/>
      <c r="S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5" t="n"/>
      <c r="J139" s="6" t="n"/>
      <c r="K139" s="5" t="n"/>
      <c r="L139" s="6" t="n"/>
      <c r="M139" s="6" t="n"/>
      <c r="N139" s="5" t="n"/>
      <c r="O139" s="6" t="n"/>
      <c r="P139" s="5" t="n"/>
      <c r="Q139" s="6" t="n"/>
      <c r="R139" s="6" t="n"/>
      <c r="S139" s="5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5" t="n"/>
      <c r="J140" s="6" t="n"/>
      <c r="K140" s="5" t="n"/>
      <c r="L140" s="6" t="n"/>
      <c r="M140" s="6" t="n"/>
      <c r="N140" s="5" t="n"/>
      <c r="O140" s="6" t="n"/>
      <c r="P140" s="5" t="n"/>
      <c r="Q140" s="6" t="n"/>
      <c r="R140" s="6" t="n"/>
      <c r="S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5" t="n"/>
      <c r="J141" s="6" t="n"/>
      <c r="K141" s="5" t="n"/>
      <c r="L141" s="6" t="n"/>
      <c r="M141" s="6" t="n"/>
      <c r="N141" s="5" t="n"/>
      <c r="O141" s="6" t="n"/>
      <c r="P141" s="5" t="n"/>
      <c r="Q141" s="6" t="n"/>
      <c r="R141" s="6" t="n"/>
      <c r="S141" s="5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5" t="n"/>
      <c r="J142" s="6" t="n"/>
      <c r="K142" s="5" t="n"/>
      <c r="L142" s="6" t="n"/>
      <c r="M142" s="6" t="n"/>
      <c r="N142" s="5" t="n"/>
      <c r="O142" s="6" t="n"/>
      <c r="P142" s="5" t="n"/>
      <c r="Q142" s="6" t="n"/>
      <c r="R142" s="6" t="n"/>
      <c r="S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5" t="n"/>
      <c r="J143" s="6" t="n"/>
      <c r="K143" s="5" t="n"/>
      <c r="L143" s="6" t="n"/>
      <c r="M143" s="6" t="n"/>
      <c r="N143" s="5" t="n"/>
      <c r="O143" s="6" t="n"/>
      <c r="P143" s="5" t="n"/>
      <c r="Q143" s="6" t="n"/>
      <c r="R143" s="6" t="n"/>
      <c r="S143" s="5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5" t="n"/>
      <c r="J144" s="6" t="n"/>
      <c r="K144" s="5" t="n"/>
      <c r="L144" s="6" t="n"/>
      <c r="M144" s="6" t="n"/>
      <c r="N144" s="5" t="n"/>
      <c r="O144" s="6" t="n"/>
      <c r="P144" s="5" t="n"/>
      <c r="Q144" s="6" t="n"/>
      <c r="R144" s="6" t="n"/>
      <c r="S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5" t="n"/>
      <c r="J145" s="6" t="n"/>
      <c r="K145" s="5" t="n"/>
      <c r="L145" s="6" t="n"/>
      <c r="M145" s="6" t="n"/>
      <c r="N145" s="5" t="n"/>
      <c r="O145" s="6" t="n"/>
      <c r="P145" s="5" t="n"/>
      <c r="Q145" s="6" t="n"/>
      <c r="R145" s="6" t="n"/>
      <c r="S145" s="5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5" t="n"/>
      <c r="J146" s="6" t="n"/>
      <c r="K146" s="5" t="n"/>
      <c r="L146" s="6" t="n"/>
      <c r="M146" s="6" t="n"/>
      <c r="N146" s="5" t="n"/>
      <c r="O146" s="6" t="n"/>
      <c r="P146" s="5" t="n"/>
      <c r="Q146" s="6" t="n"/>
      <c r="R146" s="6" t="n"/>
      <c r="S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5" t="n"/>
      <c r="J147" s="6" t="n"/>
      <c r="K147" s="5" t="n"/>
      <c r="L147" s="6" t="n"/>
      <c r="M147" s="6" t="n"/>
      <c r="N147" s="5" t="n"/>
      <c r="O147" s="6" t="n"/>
      <c r="P147" s="5" t="n"/>
      <c r="Q147" s="6" t="n"/>
      <c r="R147" s="6" t="n"/>
      <c r="S147" s="5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5" t="n"/>
      <c r="J148" s="6" t="n"/>
      <c r="K148" s="5" t="n"/>
      <c r="L148" s="6" t="n"/>
      <c r="M148" s="6" t="n"/>
      <c r="N148" s="5" t="n"/>
      <c r="O148" s="6" t="n"/>
      <c r="P148" s="5" t="n"/>
      <c r="Q148" s="6" t="n"/>
      <c r="R148" s="6" t="n"/>
      <c r="S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5" t="n"/>
      <c r="J149" s="6" t="n"/>
      <c r="K149" s="5" t="n"/>
      <c r="L149" s="6" t="n"/>
      <c r="M149" s="6" t="n"/>
      <c r="N149" s="5" t="n"/>
      <c r="O149" s="6" t="n"/>
      <c r="P149" s="5" t="n"/>
      <c r="Q149" s="6" t="n"/>
      <c r="R149" s="6" t="n"/>
      <c r="S149" s="5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5" t="n"/>
      <c r="J150" s="6" t="n"/>
      <c r="K150" s="5" t="n"/>
      <c r="L150" s="6" t="n"/>
      <c r="M150" s="6" t="n"/>
      <c r="N150" s="5" t="n"/>
      <c r="O150" s="6" t="n"/>
      <c r="P150" s="5" t="n"/>
      <c r="Q150" s="6" t="n"/>
      <c r="R150" s="6" t="n"/>
      <c r="S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5" t="n"/>
      <c r="J151" s="6" t="n"/>
      <c r="K151" s="5" t="n"/>
      <c r="L151" s="6" t="n"/>
      <c r="M151" s="6" t="n"/>
      <c r="N151" s="5" t="n"/>
      <c r="O151" s="6" t="n"/>
      <c r="P151" s="5" t="n"/>
      <c r="Q151" s="6" t="n"/>
      <c r="R151" s="6" t="n"/>
      <c r="S151" s="5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5" t="n"/>
      <c r="J152" s="6" t="n"/>
      <c r="K152" s="5" t="n"/>
      <c r="L152" s="6" t="n"/>
      <c r="M152" s="6" t="n"/>
      <c r="N152" s="5" t="n"/>
      <c r="O152" s="6" t="n"/>
      <c r="P152" s="5" t="n"/>
      <c r="Q152" s="6" t="n"/>
      <c r="R152" s="6" t="n"/>
      <c r="S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5" t="n"/>
      <c r="J153" s="6" t="n"/>
      <c r="K153" s="5" t="n"/>
      <c r="L153" s="6" t="n"/>
      <c r="M153" s="6" t="n"/>
      <c r="N153" s="5" t="n"/>
      <c r="O153" s="6" t="n"/>
      <c r="P153" s="5" t="n"/>
      <c r="Q153" s="6" t="n"/>
      <c r="R153" s="6" t="n"/>
      <c r="S153" s="5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5" t="n"/>
      <c r="J154" s="6" t="n"/>
      <c r="K154" s="5" t="n"/>
      <c r="L154" s="6" t="n"/>
      <c r="M154" s="6" t="n"/>
      <c r="N154" s="5" t="n"/>
      <c r="O154" s="6" t="n"/>
      <c r="P154" s="5" t="n"/>
      <c r="Q154" s="6" t="n"/>
      <c r="R154" s="6" t="n"/>
      <c r="S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5" t="n"/>
      <c r="J155" s="6" t="n"/>
      <c r="K155" s="5" t="n"/>
      <c r="L155" s="6" t="n"/>
      <c r="M155" s="6" t="n"/>
      <c r="N155" s="5" t="n"/>
      <c r="O155" s="6" t="n"/>
      <c r="P155" s="5" t="n"/>
      <c r="Q155" s="6" t="n"/>
      <c r="R155" s="6" t="n"/>
      <c r="S155" s="5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5" t="n"/>
      <c r="J156" s="6" t="n"/>
      <c r="K156" s="5" t="n"/>
      <c r="L156" s="6" t="n"/>
      <c r="M156" s="6" t="n"/>
      <c r="N156" s="5" t="n"/>
      <c r="O156" s="6" t="n"/>
      <c r="P156" s="5" t="n"/>
      <c r="Q156" s="6" t="n"/>
      <c r="R156" s="6" t="n"/>
      <c r="S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5" t="n"/>
      <c r="J157" s="6" t="n"/>
      <c r="K157" s="5" t="n"/>
      <c r="L157" s="6" t="n"/>
      <c r="M157" s="6" t="n"/>
      <c r="N157" s="5" t="n"/>
      <c r="O157" s="6" t="n"/>
      <c r="P157" s="5" t="n"/>
      <c r="Q157" s="6" t="n"/>
      <c r="R157" s="6" t="n"/>
      <c r="S157" s="5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5" t="n"/>
      <c r="J158" s="6" t="n"/>
      <c r="K158" s="5" t="n"/>
      <c r="L158" s="6" t="n"/>
      <c r="M158" s="6" t="n"/>
      <c r="N158" s="5" t="n"/>
      <c r="O158" s="6" t="n"/>
      <c r="P158" s="5" t="n"/>
      <c r="Q158" s="6" t="n"/>
      <c r="R158" s="6" t="n"/>
      <c r="S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5" t="n"/>
      <c r="J159" s="6" t="n"/>
      <c r="K159" s="5" t="n"/>
      <c r="L159" s="6" t="n"/>
      <c r="M159" s="6" t="n"/>
      <c r="N159" s="5" t="n"/>
      <c r="O159" s="6" t="n"/>
      <c r="P159" s="5" t="n"/>
      <c r="Q159" s="6" t="n"/>
      <c r="R159" s="6" t="n"/>
      <c r="S159" s="5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5" t="n"/>
      <c r="J160" s="6" t="n"/>
      <c r="K160" s="5" t="n"/>
      <c r="L160" s="6" t="n"/>
      <c r="M160" s="6" t="n"/>
      <c r="N160" s="5" t="n"/>
      <c r="O160" s="6" t="n"/>
      <c r="P160" s="5" t="n"/>
      <c r="Q160" s="6" t="n"/>
      <c r="R160" s="6" t="n"/>
      <c r="S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5" t="n"/>
      <c r="J161" s="6" t="n"/>
      <c r="K161" s="5" t="n"/>
      <c r="L161" s="6" t="n"/>
      <c r="M161" s="6" t="n"/>
      <c r="N161" s="5" t="n"/>
      <c r="O161" s="6" t="n"/>
      <c r="P161" s="5" t="n"/>
      <c r="Q161" s="6" t="n"/>
      <c r="R161" s="6" t="n"/>
      <c r="S161" s="5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5" t="n"/>
      <c r="J162" s="6" t="n"/>
      <c r="K162" s="5" t="n"/>
      <c r="L162" s="6" t="n"/>
      <c r="M162" s="6" t="n"/>
      <c r="N162" s="5" t="n"/>
      <c r="O162" s="6" t="n"/>
      <c r="P162" s="5" t="n"/>
      <c r="Q162" s="6" t="n"/>
      <c r="R162" s="6" t="n"/>
      <c r="S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5" t="n"/>
      <c r="J163" s="6" t="n"/>
      <c r="K163" s="5" t="n"/>
      <c r="L163" s="6" t="n"/>
      <c r="M163" s="6" t="n"/>
      <c r="N163" s="5" t="n"/>
      <c r="O163" s="6" t="n"/>
      <c r="P163" s="5" t="n"/>
      <c r="Q163" s="6" t="n"/>
      <c r="R163" s="6" t="n"/>
      <c r="S163" s="5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5" t="n"/>
      <c r="J164" s="6" t="n"/>
      <c r="K164" s="5" t="n"/>
      <c r="L164" s="6" t="n"/>
      <c r="M164" s="6" t="n"/>
      <c r="N164" s="5" t="n"/>
      <c r="O164" s="6" t="n"/>
      <c r="P164" s="5" t="n"/>
      <c r="Q164" s="6" t="n"/>
      <c r="R164" s="6" t="n"/>
      <c r="S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5" t="n"/>
      <c r="J165" s="6" t="n"/>
      <c r="K165" s="5" t="n"/>
      <c r="L165" s="6" t="n"/>
      <c r="M165" s="6" t="n"/>
      <c r="N165" s="5" t="n"/>
      <c r="O165" s="6" t="n"/>
      <c r="P165" s="5" t="n"/>
      <c r="Q165" s="6" t="n"/>
      <c r="R165" s="6" t="n"/>
      <c r="S165" s="5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5" t="n"/>
      <c r="J166" s="6" t="n"/>
      <c r="K166" s="5" t="n"/>
      <c r="L166" s="6" t="n"/>
      <c r="M166" s="6" t="n"/>
      <c r="N166" s="5" t="n"/>
      <c r="O166" s="6" t="n"/>
      <c r="P166" s="5" t="n"/>
      <c r="Q166" s="6" t="n"/>
      <c r="R166" s="6" t="n"/>
      <c r="S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5" t="n"/>
      <c r="J167" s="6" t="n"/>
      <c r="K167" s="5" t="n"/>
      <c r="L167" s="6" t="n"/>
      <c r="M167" s="6" t="n"/>
      <c r="N167" s="5" t="n"/>
      <c r="O167" s="6" t="n"/>
      <c r="P167" s="5" t="n"/>
      <c r="Q167" s="6" t="n"/>
      <c r="R167" s="6" t="n"/>
      <c r="S167" s="5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5" t="n"/>
      <c r="J168" s="6" t="n"/>
      <c r="K168" s="5" t="n"/>
      <c r="L168" s="6" t="n"/>
      <c r="M168" s="6" t="n"/>
      <c r="N168" s="5" t="n"/>
      <c r="O168" s="6" t="n"/>
      <c r="P168" s="5" t="n"/>
      <c r="Q168" s="6" t="n"/>
      <c r="R168" s="6" t="n"/>
      <c r="S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5" t="n"/>
      <c r="J169" s="6" t="n"/>
      <c r="K169" s="5" t="n"/>
      <c r="L169" s="6" t="n"/>
      <c r="M169" s="6" t="n"/>
      <c r="N169" s="5" t="n"/>
      <c r="O169" s="6" t="n"/>
      <c r="P169" s="5" t="n"/>
      <c r="Q169" s="6" t="n"/>
      <c r="R169" s="6" t="n"/>
      <c r="S169" s="5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5" t="n"/>
      <c r="J170" s="6" t="n"/>
      <c r="K170" s="5" t="n"/>
      <c r="L170" s="6" t="n"/>
      <c r="M170" s="6" t="n"/>
      <c r="N170" s="5" t="n"/>
      <c r="O170" s="6" t="n"/>
      <c r="P170" s="5" t="n"/>
      <c r="Q170" s="6" t="n"/>
      <c r="R170" s="6" t="n"/>
      <c r="S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5" t="n"/>
      <c r="J171" s="6" t="n"/>
      <c r="K171" s="5" t="n"/>
      <c r="L171" s="6" t="n"/>
      <c r="M171" s="6" t="n"/>
      <c r="N171" s="5" t="n"/>
      <c r="O171" s="6" t="n"/>
      <c r="P171" s="5" t="n"/>
      <c r="Q171" s="6" t="n"/>
      <c r="R171" s="6" t="n"/>
      <c r="S171" s="5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5" t="n"/>
      <c r="J172" s="6" t="n"/>
      <c r="K172" s="5" t="n"/>
      <c r="L172" s="6" t="n"/>
      <c r="M172" s="6" t="n"/>
      <c r="N172" s="5" t="n"/>
      <c r="O172" s="6" t="n"/>
      <c r="P172" s="5" t="n"/>
      <c r="Q172" s="6" t="n"/>
      <c r="R172" s="6" t="n"/>
      <c r="S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5" t="n"/>
      <c r="J173" s="6" t="n"/>
      <c r="K173" s="5" t="n"/>
      <c r="L173" s="6" t="n"/>
      <c r="M173" s="6" t="n"/>
      <c r="N173" s="5" t="n"/>
      <c r="O173" s="6" t="n"/>
      <c r="P173" s="5" t="n"/>
      <c r="Q173" s="6" t="n"/>
      <c r="R173" s="6" t="n"/>
      <c r="S173" s="5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5" t="n"/>
      <c r="J174" s="6" t="n"/>
      <c r="K174" s="5" t="n"/>
      <c r="L174" s="6" t="n"/>
      <c r="M174" s="6" t="n"/>
      <c r="N174" s="5" t="n"/>
      <c r="O174" s="6" t="n"/>
      <c r="P174" s="5" t="n"/>
      <c r="Q174" s="6" t="n"/>
      <c r="R174" s="6" t="n"/>
      <c r="S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5" t="n"/>
      <c r="J175" s="6" t="n"/>
      <c r="K175" s="5" t="n"/>
      <c r="L175" s="6" t="n"/>
      <c r="M175" s="6" t="n"/>
      <c r="N175" s="5" t="n"/>
      <c r="O175" s="6" t="n"/>
      <c r="P175" s="5" t="n"/>
      <c r="Q175" s="6" t="n"/>
      <c r="R175" s="6" t="n"/>
      <c r="S175" s="5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5" t="n"/>
      <c r="J176" s="6" t="n"/>
      <c r="K176" s="5" t="n"/>
      <c r="L176" s="6" t="n"/>
      <c r="M176" s="6" t="n"/>
      <c r="N176" s="5" t="n"/>
      <c r="O176" s="6" t="n"/>
      <c r="P176" s="5" t="n"/>
      <c r="Q176" s="6" t="n"/>
      <c r="R176" s="6" t="n"/>
      <c r="S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5" t="n"/>
      <c r="J177" s="6" t="n"/>
      <c r="K177" s="5" t="n"/>
      <c r="L177" s="6" t="n"/>
      <c r="M177" s="6" t="n"/>
      <c r="N177" s="5" t="n"/>
      <c r="O177" s="6" t="n"/>
      <c r="P177" s="5" t="n"/>
      <c r="Q177" s="6" t="n"/>
      <c r="R177" s="6" t="n"/>
      <c r="S177" s="5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5" t="n"/>
      <c r="J178" s="6" t="n"/>
      <c r="K178" s="5" t="n"/>
      <c r="L178" s="6" t="n"/>
      <c r="M178" s="6" t="n"/>
      <c r="N178" s="5" t="n"/>
      <c r="O178" s="6" t="n"/>
      <c r="P178" s="5" t="n"/>
      <c r="Q178" s="6" t="n"/>
      <c r="R178" s="6" t="n"/>
      <c r="S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5" t="n"/>
      <c r="J179" s="6" t="n"/>
      <c r="K179" s="5" t="n"/>
      <c r="L179" s="6" t="n"/>
      <c r="M179" s="6" t="n"/>
      <c r="N179" s="5" t="n"/>
      <c r="O179" s="6" t="n"/>
      <c r="P179" s="5" t="n"/>
      <c r="Q179" s="6" t="n"/>
      <c r="R179" s="6" t="n"/>
      <c r="S179" s="5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5" t="n"/>
      <c r="J180" s="6" t="n"/>
      <c r="K180" s="5" t="n"/>
      <c r="L180" s="6" t="n"/>
      <c r="M180" s="6" t="n"/>
      <c r="N180" s="5" t="n"/>
      <c r="O180" s="6" t="n"/>
      <c r="P180" s="5" t="n"/>
      <c r="Q180" s="6" t="n"/>
      <c r="R180" s="6" t="n"/>
      <c r="S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5" t="n"/>
      <c r="J181" s="6" t="n"/>
      <c r="K181" s="5" t="n"/>
      <c r="L181" s="6" t="n"/>
      <c r="M181" s="6" t="n"/>
      <c r="N181" s="5" t="n"/>
      <c r="O181" s="6" t="n"/>
      <c r="P181" s="5" t="n"/>
      <c r="Q181" s="6" t="n"/>
      <c r="R181" s="6" t="n"/>
      <c r="S181" s="5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5" t="n"/>
      <c r="J182" s="6" t="n"/>
      <c r="K182" s="5" t="n"/>
      <c r="L182" s="6" t="n"/>
      <c r="M182" s="6" t="n"/>
      <c r="N182" s="5" t="n"/>
      <c r="O182" s="6" t="n"/>
      <c r="P182" s="5" t="n"/>
      <c r="Q182" s="6" t="n"/>
      <c r="R182" s="6" t="n"/>
      <c r="S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5" t="n"/>
      <c r="J183" s="6" t="n"/>
      <c r="K183" s="5" t="n"/>
      <c r="L183" s="6" t="n"/>
      <c r="M183" s="6" t="n"/>
      <c r="N183" s="5" t="n"/>
      <c r="O183" s="6" t="n"/>
      <c r="P183" s="5" t="n"/>
      <c r="Q183" s="6" t="n"/>
      <c r="R183" s="6" t="n"/>
      <c r="S183" s="5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5" t="n"/>
      <c r="J184" s="6" t="n"/>
      <c r="K184" s="5" t="n"/>
      <c r="L184" s="6" t="n"/>
      <c r="M184" s="6" t="n"/>
      <c r="N184" s="5" t="n"/>
      <c r="O184" s="6" t="n"/>
      <c r="P184" s="5" t="n"/>
      <c r="Q184" s="6" t="n"/>
      <c r="R184" s="6" t="n"/>
      <c r="S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5" t="n"/>
      <c r="J185" s="6" t="n"/>
      <c r="K185" s="5" t="n"/>
      <c r="L185" s="6" t="n"/>
      <c r="M185" s="6" t="n"/>
      <c r="N185" s="5" t="n"/>
      <c r="O185" s="6" t="n"/>
      <c r="P185" s="5" t="n"/>
      <c r="Q185" s="6" t="n"/>
      <c r="R185" s="6" t="n"/>
      <c r="S185" s="5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5" t="n"/>
      <c r="J186" s="6" t="n"/>
      <c r="K186" s="5" t="n"/>
      <c r="L186" s="6" t="n"/>
      <c r="M186" s="6" t="n"/>
      <c r="N186" s="5" t="n"/>
      <c r="O186" s="6" t="n"/>
      <c r="P186" s="5" t="n"/>
      <c r="Q186" s="6" t="n"/>
      <c r="R186" s="6" t="n"/>
      <c r="S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5" t="n"/>
      <c r="J187" s="6" t="n"/>
      <c r="K187" s="5" t="n"/>
      <c r="L187" s="6" t="n"/>
      <c r="M187" s="6" t="n"/>
      <c r="N187" s="5" t="n"/>
      <c r="O187" s="6" t="n"/>
      <c r="P187" s="5" t="n"/>
      <c r="Q187" s="6" t="n"/>
      <c r="R187" s="6" t="n"/>
      <c r="S187" s="5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5" t="n"/>
      <c r="J188" s="6" t="n"/>
      <c r="K188" s="5" t="n"/>
      <c r="L188" s="6" t="n"/>
      <c r="M188" s="6" t="n"/>
      <c r="N188" s="5" t="n"/>
      <c r="O188" s="6" t="n"/>
      <c r="P188" s="5" t="n"/>
      <c r="Q188" s="6" t="n"/>
      <c r="R188" s="6" t="n"/>
      <c r="S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5" t="n"/>
      <c r="J189" s="6" t="n"/>
      <c r="K189" s="5" t="n"/>
      <c r="L189" s="6" t="n"/>
      <c r="M189" s="6" t="n"/>
      <c r="N189" s="5" t="n"/>
      <c r="O189" s="6" t="n"/>
      <c r="P189" s="5" t="n"/>
      <c r="Q189" s="6" t="n"/>
      <c r="R189" s="6" t="n"/>
      <c r="S189" s="5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5" t="n"/>
      <c r="J190" s="6" t="n"/>
      <c r="K190" s="5" t="n"/>
      <c r="L190" s="6" t="n"/>
      <c r="M190" s="6" t="n"/>
      <c r="N190" s="5" t="n"/>
      <c r="O190" s="6" t="n"/>
      <c r="P190" s="5" t="n"/>
      <c r="Q190" s="6" t="n"/>
      <c r="R190" s="6" t="n"/>
      <c r="S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5" t="n"/>
      <c r="J191" s="6" t="n"/>
      <c r="K191" s="5" t="n"/>
      <c r="L191" s="6" t="n"/>
      <c r="M191" s="6" t="n"/>
      <c r="N191" s="5" t="n"/>
      <c r="O191" s="6" t="n"/>
      <c r="P191" s="5" t="n"/>
      <c r="Q191" s="6" t="n"/>
      <c r="R191" s="6" t="n"/>
      <c r="S191" s="5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5" t="n"/>
      <c r="J192" s="6" t="n"/>
      <c r="K192" s="5" t="n"/>
      <c r="L192" s="6" t="n"/>
      <c r="M192" s="6" t="n"/>
      <c r="N192" s="5" t="n"/>
      <c r="O192" s="6" t="n"/>
      <c r="P192" s="5" t="n"/>
      <c r="Q192" s="6" t="n"/>
      <c r="R192" s="6" t="n"/>
      <c r="S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5" t="n"/>
      <c r="J193" s="6" t="n"/>
      <c r="K193" s="5" t="n"/>
      <c r="L193" s="6" t="n"/>
      <c r="M193" s="6" t="n"/>
      <c r="N193" s="5" t="n"/>
      <c r="O193" s="6" t="n"/>
      <c r="P193" s="5" t="n"/>
      <c r="Q193" s="6" t="n"/>
      <c r="R193" s="6" t="n"/>
      <c r="S193" s="5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5" t="n"/>
      <c r="J194" s="6" t="n"/>
      <c r="K194" s="5" t="n"/>
      <c r="L194" s="6" t="n"/>
      <c r="M194" s="6" t="n"/>
      <c r="N194" s="5" t="n"/>
      <c r="O194" s="6" t="n"/>
      <c r="P194" s="5" t="n"/>
      <c r="Q194" s="6" t="n"/>
      <c r="R194" s="6" t="n"/>
      <c r="S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5" t="n"/>
      <c r="J195" s="6" t="n"/>
      <c r="K195" s="5" t="n"/>
      <c r="L195" s="6" t="n"/>
      <c r="M195" s="6" t="n"/>
      <c r="N195" s="5" t="n"/>
      <c r="O195" s="6" t="n"/>
      <c r="P195" s="5" t="n"/>
      <c r="Q195" s="6" t="n"/>
      <c r="R195" s="6" t="n"/>
      <c r="S195" s="5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5" t="n"/>
      <c r="J196" s="6" t="n"/>
      <c r="K196" s="5" t="n"/>
      <c r="L196" s="6" t="n"/>
      <c r="M196" s="6" t="n"/>
      <c r="N196" s="5" t="n"/>
      <c r="O196" s="6" t="n"/>
      <c r="P196" s="5" t="n"/>
      <c r="Q196" s="6" t="n"/>
      <c r="R196" s="6" t="n"/>
      <c r="S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5" t="n"/>
      <c r="J197" s="6" t="n"/>
      <c r="K197" s="5" t="n"/>
      <c r="L197" s="6" t="n"/>
      <c r="M197" s="6" t="n"/>
      <c r="N197" s="5" t="n"/>
      <c r="O197" s="6" t="n"/>
      <c r="P197" s="5" t="n"/>
      <c r="Q197" s="6" t="n"/>
      <c r="R197" s="6" t="n"/>
      <c r="S197" s="5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5" t="n"/>
      <c r="J198" s="6" t="n"/>
      <c r="K198" s="5" t="n"/>
      <c r="L198" s="6" t="n"/>
      <c r="M198" s="6" t="n"/>
      <c r="N198" s="5" t="n"/>
      <c r="O198" s="6" t="n"/>
      <c r="P198" s="5" t="n"/>
      <c r="Q198" s="6" t="n"/>
      <c r="R198" s="6" t="n"/>
      <c r="S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5" t="n"/>
      <c r="J199" s="6" t="n"/>
      <c r="K199" s="5" t="n"/>
      <c r="L199" s="6" t="n"/>
      <c r="M199" s="6" t="n"/>
      <c r="N199" s="5" t="n"/>
      <c r="O199" s="6" t="n"/>
      <c r="P199" s="5" t="n"/>
      <c r="Q199" s="6" t="n"/>
      <c r="R199" s="6" t="n"/>
      <c r="S199" s="5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5" t="n"/>
      <c r="J200" s="6" t="n"/>
      <c r="K200" s="5" t="n"/>
      <c r="L200" s="6" t="n"/>
      <c r="M200" s="6" t="n"/>
      <c r="N200" s="5" t="n"/>
      <c r="O200" s="6" t="n"/>
      <c r="P200" s="5" t="n"/>
      <c r="Q200" s="6" t="n"/>
      <c r="R200" s="6" t="n"/>
      <c r="S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5" t="n"/>
      <c r="J201" s="6" t="n"/>
      <c r="K201" s="5" t="n"/>
      <c r="L201" s="6" t="n"/>
      <c r="M201" s="6" t="n"/>
      <c r="N201" s="5" t="n"/>
      <c r="O201" s="6" t="n"/>
      <c r="P201" s="5" t="n"/>
      <c r="Q201" s="6" t="n"/>
      <c r="R201" s="6" t="n"/>
      <c r="S201" s="5" t="n"/>
    </row>
  </sheetData>
  <dataValidations count="2">
    <dataValidation sqref="L2:L201" showDropDown="0" showInputMessage="0" showErrorMessage="0" allowBlank="1" type="list">
      <formula1>"To contact,Contacted,Replied,Demo booked,Demo done,Pilot signed,Paid,Not now,Dormant"</formula1>
    </dataValidation>
    <dataValidation sqref="J2:J201" showDropDown="0" showInputMessage="0" showErrorMessage="0" allowBlank="1" type="list">
      <formula1>"Instagram DM,WhatsApp,Email,Walk-in,Referral,Event,Inbound"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2" customWidth="1" min="4" max="4"/>
    <col width="26" customWidth="1" min="5" max="5"/>
    <col width="12" customWidth="1" min="6" max="6"/>
    <col width="12" customWidth="1" min="7" max="7"/>
    <col width="12" customWidth="1" min="8" max="8"/>
    <col width="30" customWidth="1" min="9" max="9"/>
    <col width="12" customWidth="1" min="10" max="10"/>
    <col width="16" customWidth="1" min="11" max="11"/>
    <col width="30" customWidth="1" min="12" max="12"/>
  </cols>
  <sheetData>
    <row r="1" ht="32" customHeight="1">
      <c r="A1" s="4" t="inlineStr">
        <is>
          <t>Handle</t>
        </is>
      </c>
      <c r="B1" s="4" t="inlineStr">
        <is>
          <t>Tier (nano / micro / macro)</t>
        </is>
      </c>
      <c r="C1" s="4" t="inlineStr">
        <is>
          <t>Followers (as checked)</t>
        </is>
      </c>
      <c r="D1" s="4" t="inlineStr">
        <is>
          <t>Date checked</t>
        </is>
      </c>
      <c r="E1" s="4" t="inlineStr">
        <is>
          <t>Source of the count</t>
        </is>
      </c>
      <c r="F1" s="4" t="inlineStr">
        <is>
          <t>Invited on</t>
        </is>
      </c>
      <c r="G1" s="4" t="inlineStr">
        <is>
          <t>Reply</t>
        </is>
      </c>
      <c r="H1" s="4" t="inlineStr">
        <is>
          <t>Visit date</t>
        </is>
      </c>
      <c r="I1" s="4" t="inlineStr">
        <is>
          <t>Post link</t>
        </is>
      </c>
      <c r="J1" s="4" t="inlineStr">
        <is>
          <t>Reach of their post</t>
        </is>
      </c>
      <c r="K1" s="4" t="inlineStr">
        <is>
          <t>Profile visits to MENVA that week</t>
        </is>
      </c>
      <c r="L1" s="4" t="inlineStr">
        <is>
          <t>Notes</t>
        </is>
      </c>
    </row>
    <row r="2">
      <c r="A2" s="13" t="inlineStr">
        <is>
          <t>EXAMPLE: @handle</t>
        </is>
      </c>
      <c r="B2" s="13" t="inlineStr">
        <is>
          <t>micro</t>
        </is>
      </c>
      <c r="C2" s="15" t="n">
        <v>25000</v>
      </c>
      <c r="D2" s="14" t="n">
        <v>46296</v>
      </c>
      <c r="E2" s="13" t="inlineStr">
        <is>
          <t>Instagram profile, checked by hand</t>
        </is>
      </c>
      <c r="F2" s="14" t="n">
        <v>46303</v>
      </c>
      <c r="G2" s="13" t="inlineStr">
        <is>
          <t>Yes</t>
        </is>
      </c>
      <c r="H2" s="14" t="n">
        <v>46313</v>
      </c>
      <c r="I2" s="13" t="inlineStr"/>
      <c r="J2" s="13" t="inlineStr"/>
      <c r="K2" s="13" t="inlineStr"/>
      <c r="L2" s="13" t="inlineStr">
        <is>
          <t>Verify the count before inviting</t>
        </is>
      </c>
    </row>
    <row r="3">
      <c r="A3" s="6" t="n"/>
      <c r="B3" s="6" t="n"/>
      <c r="C3" s="16" t="n"/>
      <c r="D3" s="5" t="n"/>
      <c r="E3" s="6" t="n"/>
      <c r="F3" s="5" t="n"/>
      <c r="G3" s="6" t="n"/>
      <c r="H3" s="5" t="n"/>
      <c r="I3" s="6" t="n"/>
      <c r="J3" s="6" t="n"/>
      <c r="K3" s="6" t="n"/>
      <c r="L3" s="6" t="n"/>
    </row>
    <row r="4">
      <c r="A4" s="6" t="n"/>
      <c r="B4" s="6" t="n"/>
      <c r="C4" s="16" t="n"/>
      <c r="D4" s="5" t="n"/>
      <c r="E4" s="6" t="n"/>
      <c r="F4" s="5" t="n"/>
      <c r="G4" s="6" t="n"/>
      <c r="H4" s="5" t="n"/>
      <c r="I4" s="6" t="n"/>
      <c r="J4" s="6" t="n"/>
      <c r="K4" s="6" t="n"/>
      <c r="L4" s="6" t="n"/>
    </row>
    <row r="5">
      <c r="A5" s="6" t="n"/>
      <c r="B5" s="6" t="n"/>
      <c r="C5" s="16" t="n"/>
      <c r="D5" s="5" t="n"/>
      <c r="E5" s="6" t="n"/>
      <c r="F5" s="5" t="n"/>
      <c r="G5" s="6" t="n"/>
      <c r="H5" s="5" t="n"/>
      <c r="I5" s="6" t="n"/>
      <c r="J5" s="6" t="n"/>
      <c r="K5" s="6" t="n"/>
      <c r="L5" s="6" t="n"/>
    </row>
    <row r="6">
      <c r="A6" s="6" t="n"/>
      <c r="B6" s="6" t="n"/>
      <c r="C6" s="16" t="n"/>
      <c r="D6" s="5" t="n"/>
      <c r="E6" s="6" t="n"/>
      <c r="F6" s="5" t="n"/>
      <c r="G6" s="6" t="n"/>
      <c r="H6" s="5" t="n"/>
      <c r="I6" s="6" t="n"/>
      <c r="J6" s="6" t="n"/>
      <c r="K6" s="6" t="n"/>
      <c r="L6" s="6" t="n"/>
    </row>
    <row r="7">
      <c r="A7" s="6" t="n"/>
      <c r="B7" s="6" t="n"/>
      <c r="C7" s="16" t="n"/>
      <c r="D7" s="5" t="n"/>
      <c r="E7" s="6" t="n"/>
      <c r="F7" s="5" t="n"/>
      <c r="G7" s="6" t="n"/>
      <c r="H7" s="5" t="n"/>
      <c r="I7" s="6" t="n"/>
      <c r="J7" s="6" t="n"/>
      <c r="K7" s="6" t="n"/>
      <c r="L7" s="6" t="n"/>
    </row>
    <row r="8">
      <c r="A8" s="6" t="n"/>
      <c r="B8" s="6" t="n"/>
      <c r="C8" s="16" t="n"/>
      <c r="D8" s="5" t="n"/>
      <c r="E8" s="6" t="n"/>
      <c r="F8" s="5" t="n"/>
      <c r="G8" s="6" t="n"/>
      <c r="H8" s="5" t="n"/>
      <c r="I8" s="6" t="n"/>
      <c r="J8" s="6" t="n"/>
      <c r="K8" s="6" t="n"/>
      <c r="L8" s="6" t="n"/>
    </row>
    <row r="9">
      <c r="A9" s="6" t="n"/>
      <c r="B9" s="6" t="n"/>
      <c r="C9" s="16" t="n"/>
      <c r="D9" s="5" t="n"/>
      <c r="E9" s="6" t="n"/>
      <c r="F9" s="5" t="n"/>
      <c r="G9" s="6" t="n"/>
      <c r="H9" s="5" t="n"/>
      <c r="I9" s="6" t="n"/>
      <c r="J9" s="6" t="n"/>
      <c r="K9" s="6" t="n"/>
      <c r="L9" s="6" t="n"/>
    </row>
    <row r="10">
      <c r="A10" s="6" t="n"/>
      <c r="B10" s="6" t="n"/>
      <c r="C10" s="16" t="n"/>
      <c r="D10" s="5" t="n"/>
      <c r="E10" s="6" t="n"/>
      <c r="F10" s="5" t="n"/>
      <c r="G10" s="6" t="n"/>
      <c r="H10" s="5" t="n"/>
      <c r="I10" s="6" t="n"/>
      <c r="J10" s="6" t="n"/>
      <c r="K10" s="6" t="n"/>
      <c r="L10" s="6" t="n"/>
    </row>
    <row r="11">
      <c r="A11" s="6" t="n"/>
      <c r="B11" s="6" t="n"/>
      <c r="C11" s="16" t="n"/>
      <c r="D11" s="5" t="n"/>
      <c r="E11" s="6" t="n"/>
      <c r="F11" s="5" t="n"/>
      <c r="G11" s="6" t="n"/>
      <c r="H11" s="5" t="n"/>
      <c r="I11" s="6" t="n"/>
      <c r="J11" s="6" t="n"/>
      <c r="K11" s="6" t="n"/>
      <c r="L11" s="6" t="n"/>
    </row>
    <row r="12">
      <c r="A12" s="6" t="n"/>
      <c r="B12" s="6" t="n"/>
      <c r="C12" s="16" t="n"/>
      <c r="D12" s="5" t="n"/>
      <c r="E12" s="6" t="n"/>
      <c r="F12" s="5" t="n"/>
      <c r="G12" s="6" t="n"/>
      <c r="H12" s="5" t="n"/>
      <c r="I12" s="6" t="n"/>
      <c r="J12" s="6" t="n"/>
      <c r="K12" s="6" t="n"/>
      <c r="L12" s="6" t="n"/>
    </row>
    <row r="13">
      <c r="A13" s="6" t="n"/>
      <c r="B13" s="6" t="n"/>
      <c r="C13" s="16" t="n"/>
      <c r="D13" s="5" t="n"/>
      <c r="E13" s="6" t="n"/>
      <c r="F13" s="5" t="n"/>
      <c r="G13" s="6" t="n"/>
      <c r="H13" s="5" t="n"/>
      <c r="I13" s="6" t="n"/>
      <c r="J13" s="6" t="n"/>
      <c r="K13" s="6" t="n"/>
      <c r="L13" s="6" t="n"/>
    </row>
    <row r="14">
      <c r="A14" s="6" t="n"/>
      <c r="B14" s="6" t="n"/>
      <c r="C14" s="16" t="n"/>
      <c r="D14" s="5" t="n"/>
      <c r="E14" s="6" t="n"/>
      <c r="F14" s="5" t="n"/>
      <c r="G14" s="6" t="n"/>
      <c r="H14" s="5" t="n"/>
      <c r="I14" s="6" t="n"/>
      <c r="J14" s="6" t="n"/>
      <c r="K14" s="6" t="n"/>
      <c r="L14" s="6" t="n"/>
    </row>
    <row r="15">
      <c r="A15" s="6" t="n"/>
      <c r="B15" s="6" t="n"/>
      <c r="C15" s="16" t="n"/>
      <c r="D15" s="5" t="n"/>
      <c r="E15" s="6" t="n"/>
      <c r="F15" s="5" t="n"/>
      <c r="G15" s="6" t="n"/>
      <c r="H15" s="5" t="n"/>
      <c r="I15" s="6" t="n"/>
      <c r="J15" s="6" t="n"/>
      <c r="K15" s="6" t="n"/>
      <c r="L15" s="6" t="n"/>
    </row>
    <row r="16">
      <c r="A16" s="6" t="n"/>
      <c r="B16" s="6" t="n"/>
      <c r="C16" s="16" t="n"/>
      <c r="D16" s="5" t="n"/>
      <c r="E16" s="6" t="n"/>
      <c r="F16" s="5" t="n"/>
      <c r="G16" s="6" t="n"/>
      <c r="H16" s="5" t="n"/>
      <c r="I16" s="6" t="n"/>
      <c r="J16" s="6" t="n"/>
      <c r="K16" s="6" t="n"/>
      <c r="L16" s="6" t="n"/>
    </row>
    <row r="17">
      <c r="A17" s="6" t="n"/>
      <c r="B17" s="6" t="n"/>
      <c r="C17" s="16" t="n"/>
      <c r="D17" s="5" t="n"/>
      <c r="E17" s="6" t="n"/>
      <c r="F17" s="5" t="n"/>
      <c r="G17" s="6" t="n"/>
      <c r="H17" s="5" t="n"/>
      <c r="I17" s="6" t="n"/>
      <c r="J17" s="6" t="n"/>
      <c r="K17" s="6" t="n"/>
      <c r="L17" s="6" t="n"/>
    </row>
    <row r="18">
      <c r="A18" s="6" t="n"/>
      <c r="B18" s="6" t="n"/>
      <c r="C18" s="16" t="n"/>
      <c r="D18" s="5" t="n"/>
      <c r="E18" s="6" t="n"/>
      <c r="F18" s="5" t="n"/>
      <c r="G18" s="6" t="n"/>
      <c r="H18" s="5" t="n"/>
      <c r="I18" s="6" t="n"/>
      <c r="J18" s="6" t="n"/>
      <c r="K18" s="6" t="n"/>
      <c r="L18" s="6" t="n"/>
    </row>
    <row r="19">
      <c r="A19" s="6" t="n"/>
      <c r="B19" s="6" t="n"/>
      <c r="C19" s="16" t="n"/>
      <c r="D19" s="5" t="n"/>
      <c r="E19" s="6" t="n"/>
      <c r="F19" s="5" t="n"/>
      <c r="G19" s="6" t="n"/>
      <c r="H19" s="5" t="n"/>
      <c r="I19" s="6" t="n"/>
      <c r="J19" s="6" t="n"/>
      <c r="K19" s="6" t="n"/>
      <c r="L19" s="6" t="n"/>
    </row>
    <row r="20">
      <c r="A20" s="6" t="n"/>
      <c r="B20" s="6" t="n"/>
      <c r="C20" s="16" t="n"/>
      <c r="D20" s="5" t="n"/>
      <c r="E20" s="6" t="n"/>
      <c r="F20" s="5" t="n"/>
      <c r="G20" s="6" t="n"/>
      <c r="H20" s="5" t="n"/>
      <c r="I20" s="6" t="n"/>
      <c r="J20" s="6" t="n"/>
      <c r="K20" s="6" t="n"/>
      <c r="L20" s="6" t="n"/>
    </row>
    <row r="21">
      <c r="A21" s="6" t="n"/>
      <c r="B21" s="6" t="n"/>
      <c r="C21" s="16" t="n"/>
      <c r="D21" s="5" t="n"/>
      <c r="E21" s="6" t="n"/>
      <c r="F21" s="5" t="n"/>
      <c r="G21" s="6" t="n"/>
      <c r="H21" s="5" t="n"/>
      <c r="I21" s="6" t="n"/>
      <c r="J21" s="6" t="n"/>
      <c r="K21" s="6" t="n"/>
      <c r="L21" s="6" t="n"/>
    </row>
    <row r="22">
      <c r="A22" s="6" t="n"/>
      <c r="B22" s="6" t="n"/>
      <c r="C22" s="16" t="n"/>
      <c r="D22" s="5" t="n"/>
      <c r="E22" s="6" t="n"/>
      <c r="F22" s="5" t="n"/>
      <c r="G22" s="6" t="n"/>
      <c r="H22" s="5" t="n"/>
      <c r="I22" s="6" t="n"/>
      <c r="J22" s="6" t="n"/>
      <c r="K22" s="6" t="n"/>
      <c r="L22" s="6" t="n"/>
    </row>
    <row r="23">
      <c r="A23" s="6" t="n"/>
      <c r="B23" s="6" t="n"/>
      <c r="C23" s="16" t="n"/>
      <c r="D23" s="5" t="n"/>
      <c r="E23" s="6" t="n"/>
      <c r="F23" s="5" t="n"/>
      <c r="G23" s="6" t="n"/>
      <c r="H23" s="5" t="n"/>
      <c r="I23" s="6" t="n"/>
      <c r="J23" s="6" t="n"/>
      <c r="K23" s="6" t="n"/>
      <c r="L23" s="6" t="n"/>
    </row>
    <row r="24">
      <c r="A24" s="6" t="n"/>
      <c r="B24" s="6" t="n"/>
      <c r="C24" s="16" t="n"/>
      <c r="D24" s="5" t="n"/>
      <c r="E24" s="6" t="n"/>
      <c r="F24" s="5" t="n"/>
      <c r="G24" s="6" t="n"/>
      <c r="H24" s="5" t="n"/>
      <c r="I24" s="6" t="n"/>
      <c r="J24" s="6" t="n"/>
      <c r="K24" s="6" t="n"/>
      <c r="L24" s="6" t="n"/>
    </row>
    <row r="25">
      <c r="A25" s="6" t="n"/>
      <c r="B25" s="6" t="n"/>
      <c r="C25" s="16" t="n"/>
      <c r="D25" s="5" t="n"/>
      <c r="E25" s="6" t="n"/>
      <c r="F25" s="5" t="n"/>
      <c r="G25" s="6" t="n"/>
      <c r="H25" s="5" t="n"/>
      <c r="I25" s="6" t="n"/>
      <c r="J25" s="6" t="n"/>
      <c r="K25" s="6" t="n"/>
      <c r="L25" s="6" t="n"/>
    </row>
    <row r="26">
      <c r="A26" s="6" t="n"/>
      <c r="B26" s="6" t="n"/>
      <c r="C26" s="16" t="n"/>
      <c r="D26" s="5" t="n"/>
      <c r="E26" s="6" t="n"/>
      <c r="F26" s="5" t="n"/>
      <c r="G26" s="6" t="n"/>
      <c r="H26" s="5" t="n"/>
      <c r="I26" s="6" t="n"/>
      <c r="J26" s="6" t="n"/>
      <c r="K26" s="6" t="n"/>
      <c r="L26" s="6" t="n"/>
    </row>
    <row r="27">
      <c r="A27" s="6" t="n"/>
      <c r="B27" s="6" t="n"/>
      <c r="C27" s="16" t="n"/>
      <c r="D27" s="5" t="n"/>
      <c r="E27" s="6" t="n"/>
      <c r="F27" s="5" t="n"/>
      <c r="G27" s="6" t="n"/>
      <c r="H27" s="5" t="n"/>
      <c r="I27" s="6" t="n"/>
      <c r="J27" s="6" t="n"/>
      <c r="K27" s="6" t="n"/>
      <c r="L27" s="6" t="n"/>
    </row>
    <row r="28">
      <c r="A28" s="6" t="n"/>
      <c r="B28" s="6" t="n"/>
      <c r="C28" s="16" t="n"/>
      <c r="D28" s="5" t="n"/>
      <c r="E28" s="6" t="n"/>
      <c r="F28" s="5" t="n"/>
      <c r="G28" s="6" t="n"/>
      <c r="H28" s="5" t="n"/>
      <c r="I28" s="6" t="n"/>
      <c r="J28" s="6" t="n"/>
      <c r="K28" s="6" t="n"/>
      <c r="L28" s="6" t="n"/>
    </row>
    <row r="29">
      <c r="A29" s="6" t="n"/>
      <c r="B29" s="6" t="n"/>
      <c r="C29" s="16" t="n"/>
      <c r="D29" s="5" t="n"/>
      <c r="E29" s="6" t="n"/>
      <c r="F29" s="5" t="n"/>
      <c r="G29" s="6" t="n"/>
      <c r="H29" s="5" t="n"/>
      <c r="I29" s="6" t="n"/>
      <c r="J29" s="6" t="n"/>
      <c r="K29" s="6" t="n"/>
      <c r="L29" s="6" t="n"/>
    </row>
    <row r="30">
      <c r="A30" s="6" t="n"/>
      <c r="B30" s="6" t="n"/>
      <c r="C30" s="16" t="n"/>
      <c r="D30" s="5" t="n"/>
      <c r="E30" s="6" t="n"/>
      <c r="F30" s="5" t="n"/>
      <c r="G30" s="6" t="n"/>
      <c r="H30" s="5" t="n"/>
      <c r="I30" s="6" t="n"/>
      <c r="J30" s="6" t="n"/>
      <c r="K30" s="6" t="n"/>
      <c r="L30" s="6" t="n"/>
    </row>
    <row r="31">
      <c r="A31" s="6" t="n"/>
      <c r="B31" s="6" t="n"/>
      <c r="C31" s="16" t="n"/>
      <c r="D31" s="5" t="n"/>
      <c r="E31" s="6" t="n"/>
      <c r="F31" s="5" t="n"/>
      <c r="G31" s="6" t="n"/>
      <c r="H31" s="5" t="n"/>
      <c r="I31" s="6" t="n"/>
      <c r="J31" s="6" t="n"/>
      <c r="K31" s="6" t="n"/>
      <c r="L31" s="6" t="n"/>
    </row>
    <row r="32">
      <c r="A32" s="6" t="n"/>
      <c r="B32" s="6" t="n"/>
      <c r="C32" s="16" t="n"/>
      <c r="D32" s="5" t="n"/>
      <c r="E32" s="6" t="n"/>
      <c r="F32" s="5" t="n"/>
      <c r="G32" s="6" t="n"/>
      <c r="H32" s="5" t="n"/>
      <c r="I32" s="6" t="n"/>
      <c r="J32" s="6" t="n"/>
      <c r="K32" s="6" t="n"/>
      <c r="L32" s="6" t="n"/>
    </row>
    <row r="33">
      <c r="A33" s="6" t="n"/>
      <c r="B33" s="6" t="n"/>
      <c r="C33" s="16" t="n"/>
      <c r="D33" s="5" t="n"/>
      <c r="E33" s="6" t="n"/>
      <c r="F33" s="5" t="n"/>
      <c r="G33" s="6" t="n"/>
      <c r="H33" s="5" t="n"/>
      <c r="I33" s="6" t="n"/>
      <c r="J33" s="6" t="n"/>
      <c r="K33" s="6" t="n"/>
      <c r="L33" s="6" t="n"/>
    </row>
    <row r="34">
      <c r="A34" s="6" t="n"/>
      <c r="B34" s="6" t="n"/>
      <c r="C34" s="16" t="n"/>
      <c r="D34" s="5" t="n"/>
      <c r="E34" s="6" t="n"/>
      <c r="F34" s="5" t="n"/>
      <c r="G34" s="6" t="n"/>
      <c r="H34" s="5" t="n"/>
      <c r="I34" s="6" t="n"/>
      <c r="J34" s="6" t="n"/>
      <c r="K34" s="6" t="n"/>
      <c r="L34" s="6" t="n"/>
    </row>
    <row r="35">
      <c r="A35" s="6" t="n"/>
      <c r="B35" s="6" t="n"/>
      <c r="C35" s="16" t="n"/>
      <c r="D35" s="5" t="n"/>
      <c r="E35" s="6" t="n"/>
      <c r="F35" s="5" t="n"/>
      <c r="G35" s="6" t="n"/>
      <c r="H35" s="5" t="n"/>
      <c r="I35" s="6" t="n"/>
      <c r="J35" s="6" t="n"/>
      <c r="K35" s="6" t="n"/>
      <c r="L35" s="6" t="n"/>
    </row>
    <row r="36">
      <c r="A36" s="6" t="n"/>
      <c r="B36" s="6" t="n"/>
      <c r="C36" s="16" t="n"/>
      <c r="D36" s="5" t="n"/>
      <c r="E36" s="6" t="n"/>
      <c r="F36" s="5" t="n"/>
      <c r="G36" s="6" t="n"/>
      <c r="H36" s="5" t="n"/>
      <c r="I36" s="6" t="n"/>
      <c r="J36" s="6" t="n"/>
      <c r="K36" s="6" t="n"/>
      <c r="L36" s="6" t="n"/>
    </row>
    <row r="37">
      <c r="A37" s="6" t="n"/>
      <c r="B37" s="6" t="n"/>
      <c r="C37" s="16" t="n"/>
      <c r="D37" s="5" t="n"/>
      <c r="E37" s="6" t="n"/>
      <c r="F37" s="5" t="n"/>
      <c r="G37" s="6" t="n"/>
      <c r="H37" s="5" t="n"/>
      <c r="I37" s="6" t="n"/>
      <c r="J37" s="6" t="n"/>
      <c r="K37" s="6" t="n"/>
      <c r="L37" s="6" t="n"/>
    </row>
    <row r="38">
      <c r="A38" s="6" t="n"/>
      <c r="B38" s="6" t="n"/>
      <c r="C38" s="16" t="n"/>
      <c r="D38" s="5" t="n"/>
      <c r="E38" s="6" t="n"/>
      <c r="F38" s="5" t="n"/>
      <c r="G38" s="6" t="n"/>
      <c r="H38" s="5" t="n"/>
      <c r="I38" s="6" t="n"/>
      <c r="J38" s="6" t="n"/>
      <c r="K38" s="6" t="n"/>
      <c r="L38" s="6" t="n"/>
    </row>
    <row r="39">
      <c r="A39" s="6" t="n"/>
      <c r="B39" s="6" t="n"/>
      <c r="C39" s="16" t="n"/>
      <c r="D39" s="5" t="n"/>
      <c r="E39" s="6" t="n"/>
      <c r="F39" s="5" t="n"/>
      <c r="G39" s="6" t="n"/>
      <c r="H39" s="5" t="n"/>
      <c r="I39" s="6" t="n"/>
      <c r="J39" s="6" t="n"/>
      <c r="K39" s="6" t="n"/>
      <c r="L39" s="6" t="n"/>
    </row>
    <row r="40">
      <c r="A40" s="6" t="n"/>
      <c r="B40" s="6" t="n"/>
      <c r="C40" s="16" t="n"/>
      <c r="D40" s="5" t="n"/>
      <c r="E40" s="6" t="n"/>
      <c r="F40" s="5" t="n"/>
      <c r="G40" s="6" t="n"/>
      <c r="H40" s="5" t="n"/>
      <c r="I40" s="6" t="n"/>
      <c r="J40" s="6" t="n"/>
      <c r="K40" s="6" t="n"/>
      <c r="L40" s="6" t="n"/>
    </row>
    <row r="41">
      <c r="A41" s="6" t="n"/>
      <c r="B41" s="6" t="n"/>
      <c r="C41" s="16" t="n"/>
      <c r="D41" s="5" t="n"/>
      <c r="E41" s="6" t="n"/>
      <c r="F41" s="5" t="n"/>
      <c r="G41" s="6" t="n"/>
      <c r="H41" s="5" t="n"/>
      <c r="I41" s="6" t="n"/>
      <c r="J41" s="6" t="n"/>
      <c r="K41" s="6" t="n"/>
      <c r="L41" s="6" t="n"/>
    </row>
    <row r="42">
      <c r="A42" s="6" t="n"/>
      <c r="B42" s="6" t="n"/>
      <c r="C42" s="16" t="n"/>
      <c r="D42" s="5" t="n"/>
      <c r="E42" s="6" t="n"/>
      <c r="F42" s="5" t="n"/>
      <c r="G42" s="6" t="n"/>
      <c r="H42" s="5" t="n"/>
      <c r="I42" s="6" t="n"/>
      <c r="J42" s="6" t="n"/>
      <c r="K42" s="6" t="n"/>
      <c r="L42" s="6" t="n"/>
    </row>
    <row r="43">
      <c r="A43" s="6" t="n"/>
      <c r="B43" s="6" t="n"/>
      <c r="C43" s="16" t="n"/>
      <c r="D43" s="5" t="n"/>
      <c r="E43" s="6" t="n"/>
      <c r="F43" s="5" t="n"/>
      <c r="G43" s="6" t="n"/>
      <c r="H43" s="5" t="n"/>
      <c r="I43" s="6" t="n"/>
      <c r="J43" s="6" t="n"/>
      <c r="K43" s="6" t="n"/>
      <c r="L43" s="6" t="n"/>
    </row>
    <row r="44">
      <c r="A44" s="6" t="n"/>
      <c r="B44" s="6" t="n"/>
      <c r="C44" s="16" t="n"/>
      <c r="D44" s="5" t="n"/>
      <c r="E44" s="6" t="n"/>
      <c r="F44" s="5" t="n"/>
      <c r="G44" s="6" t="n"/>
      <c r="H44" s="5" t="n"/>
      <c r="I44" s="6" t="n"/>
      <c r="J44" s="6" t="n"/>
      <c r="K44" s="6" t="n"/>
      <c r="L44" s="6" t="n"/>
    </row>
    <row r="45">
      <c r="A45" s="6" t="n"/>
      <c r="B45" s="6" t="n"/>
      <c r="C45" s="16" t="n"/>
      <c r="D45" s="5" t="n"/>
      <c r="E45" s="6" t="n"/>
      <c r="F45" s="5" t="n"/>
      <c r="G45" s="6" t="n"/>
      <c r="H45" s="5" t="n"/>
      <c r="I45" s="6" t="n"/>
      <c r="J45" s="6" t="n"/>
      <c r="K45" s="6" t="n"/>
      <c r="L45" s="6" t="n"/>
    </row>
    <row r="46">
      <c r="A46" s="6" t="n"/>
      <c r="B46" s="6" t="n"/>
      <c r="C46" s="16" t="n"/>
      <c r="D46" s="5" t="n"/>
      <c r="E46" s="6" t="n"/>
      <c r="F46" s="5" t="n"/>
      <c r="G46" s="6" t="n"/>
      <c r="H46" s="5" t="n"/>
      <c r="I46" s="6" t="n"/>
      <c r="J46" s="6" t="n"/>
      <c r="K46" s="6" t="n"/>
      <c r="L46" s="6" t="n"/>
    </row>
    <row r="47">
      <c r="A47" s="6" t="n"/>
      <c r="B47" s="6" t="n"/>
      <c r="C47" s="16" t="n"/>
      <c r="D47" s="5" t="n"/>
      <c r="E47" s="6" t="n"/>
      <c r="F47" s="5" t="n"/>
      <c r="G47" s="6" t="n"/>
      <c r="H47" s="5" t="n"/>
      <c r="I47" s="6" t="n"/>
      <c r="J47" s="6" t="n"/>
      <c r="K47" s="6" t="n"/>
      <c r="L47" s="6" t="n"/>
    </row>
    <row r="48">
      <c r="A48" s="6" t="n"/>
      <c r="B48" s="6" t="n"/>
      <c r="C48" s="16" t="n"/>
      <c r="D48" s="5" t="n"/>
      <c r="E48" s="6" t="n"/>
      <c r="F48" s="5" t="n"/>
      <c r="G48" s="6" t="n"/>
      <c r="H48" s="5" t="n"/>
      <c r="I48" s="6" t="n"/>
      <c r="J48" s="6" t="n"/>
      <c r="K48" s="6" t="n"/>
      <c r="L48" s="6" t="n"/>
    </row>
    <row r="49">
      <c r="A49" s="6" t="n"/>
      <c r="B49" s="6" t="n"/>
      <c r="C49" s="16" t="n"/>
      <c r="D49" s="5" t="n"/>
      <c r="E49" s="6" t="n"/>
      <c r="F49" s="5" t="n"/>
      <c r="G49" s="6" t="n"/>
      <c r="H49" s="5" t="n"/>
      <c r="I49" s="6" t="n"/>
      <c r="J49" s="6" t="n"/>
      <c r="K49" s="6" t="n"/>
      <c r="L49" s="6" t="n"/>
    </row>
    <row r="50">
      <c r="A50" s="6" t="n"/>
      <c r="B50" s="6" t="n"/>
      <c r="C50" s="16" t="n"/>
      <c r="D50" s="5" t="n"/>
      <c r="E50" s="6" t="n"/>
      <c r="F50" s="5" t="n"/>
      <c r="G50" s="6" t="n"/>
      <c r="H50" s="5" t="n"/>
      <c r="I50" s="6" t="n"/>
      <c r="J50" s="6" t="n"/>
      <c r="K50" s="6" t="n"/>
      <c r="L50" s="6" t="n"/>
    </row>
    <row r="51">
      <c r="A51" s="6" t="n"/>
      <c r="B51" s="6" t="n"/>
      <c r="C51" s="16" t="n"/>
      <c r="D51" s="5" t="n"/>
      <c r="E51" s="6" t="n"/>
      <c r="F51" s="5" t="n"/>
      <c r="G51" s="6" t="n"/>
      <c r="H51" s="5" t="n"/>
      <c r="I51" s="6" t="n"/>
      <c r="J51" s="6" t="n"/>
      <c r="K51" s="6" t="n"/>
      <c r="L51" s="6" t="n"/>
    </row>
    <row r="52">
      <c r="A52" s="6" t="n"/>
      <c r="B52" s="6" t="n"/>
      <c r="C52" s="16" t="n"/>
      <c r="D52" s="5" t="n"/>
      <c r="E52" s="6" t="n"/>
      <c r="F52" s="5" t="n"/>
      <c r="G52" s="6" t="n"/>
      <c r="H52" s="5" t="n"/>
      <c r="I52" s="6" t="n"/>
      <c r="J52" s="6" t="n"/>
      <c r="K52" s="6" t="n"/>
      <c r="L52" s="6" t="n"/>
    </row>
    <row r="53">
      <c r="A53" s="6" t="n"/>
      <c r="B53" s="6" t="n"/>
      <c r="C53" s="16" t="n"/>
      <c r="D53" s="5" t="n"/>
      <c r="E53" s="6" t="n"/>
      <c r="F53" s="5" t="n"/>
      <c r="G53" s="6" t="n"/>
      <c r="H53" s="5" t="n"/>
      <c r="I53" s="6" t="n"/>
      <c r="J53" s="6" t="n"/>
      <c r="K53" s="6" t="n"/>
      <c r="L53" s="6" t="n"/>
    </row>
    <row r="54">
      <c r="A54" s="6" t="n"/>
      <c r="B54" s="6" t="n"/>
      <c r="C54" s="16" t="n"/>
      <c r="D54" s="5" t="n"/>
      <c r="E54" s="6" t="n"/>
      <c r="F54" s="5" t="n"/>
      <c r="G54" s="6" t="n"/>
      <c r="H54" s="5" t="n"/>
      <c r="I54" s="6" t="n"/>
      <c r="J54" s="6" t="n"/>
      <c r="K54" s="6" t="n"/>
      <c r="L54" s="6" t="n"/>
    </row>
    <row r="55">
      <c r="A55" s="6" t="n"/>
      <c r="B55" s="6" t="n"/>
      <c r="C55" s="16" t="n"/>
      <c r="D55" s="5" t="n"/>
      <c r="E55" s="6" t="n"/>
      <c r="F55" s="5" t="n"/>
      <c r="G55" s="6" t="n"/>
      <c r="H55" s="5" t="n"/>
      <c r="I55" s="6" t="n"/>
      <c r="J55" s="6" t="n"/>
      <c r="K55" s="6" t="n"/>
      <c r="L55" s="6" t="n"/>
    </row>
    <row r="56">
      <c r="A56" s="6" t="n"/>
      <c r="B56" s="6" t="n"/>
      <c r="C56" s="16" t="n"/>
      <c r="D56" s="5" t="n"/>
      <c r="E56" s="6" t="n"/>
      <c r="F56" s="5" t="n"/>
      <c r="G56" s="6" t="n"/>
      <c r="H56" s="5" t="n"/>
      <c r="I56" s="6" t="n"/>
      <c r="J56" s="6" t="n"/>
      <c r="K56" s="6" t="n"/>
      <c r="L56" s="6" t="n"/>
    </row>
    <row r="57">
      <c r="A57" s="6" t="n"/>
      <c r="B57" s="6" t="n"/>
      <c r="C57" s="16" t="n"/>
      <c r="D57" s="5" t="n"/>
      <c r="E57" s="6" t="n"/>
      <c r="F57" s="5" t="n"/>
      <c r="G57" s="6" t="n"/>
      <c r="H57" s="5" t="n"/>
      <c r="I57" s="6" t="n"/>
      <c r="J57" s="6" t="n"/>
      <c r="K57" s="6" t="n"/>
      <c r="L57" s="6" t="n"/>
    </row>
    <row r="58">
      <c r="A58" s="6" t="n"/>
      <c r="B58" s="6" t="n"/>
      <c r="C58" s="16" t="n"/>
      <c r="D58" s="5" t="n"/>
      <c r="E58" s="6" t="n"/>
      <c r="F58" s="5" t="n"/>
      <c r="G58" s="6" t="n"/>
      <c r="H58" s="5" t="n"/>
      <c r="I58" s="6" t="n"/>
      <c r="J58" s="6" t="n"/>
      <c r="K58" s="6" t="n"/>
      <c r="L58" s="6" t="n"/>
    </row>
    <row r="59">
      <c r="A59" s="6" t="n"/>
      <c r="B59" s="6" t="n"/>
      <c r="C59" s="16" t="n"/>
      <c r="D59" s="5" t="n"/>
      <c r="E59" s="6" t="n"/>
      <c r="F59" s="5" t="n"/>
      <c r="G59" s="6" t="n"/>
      <c r="H59" s="5" t="n"/>
      <c r="I59" s="6" t="n"/>
      <c r="J59" s="6" t="n"/>
      <c r="K59" s="6" t="n"/>
      <c r="L59" s="6" t="n"/>
    </row>
    <row r="60">
      <c r="A60" s="6" t="n"/>
      <c r="B60" s="6" t="n"/>
      <c r="C60" s="16" t="n"/>
      <c r="D60" s="5" t="n"/>
      <c r="E60" s="6" t="n"/>
      <c r="F60" s="5" t="n"/>
      <c r="G60" s="6" t="n"/>
      <c r="H60" s="5" t="n"/>
      <c r="I60" s="6" t="n"/>
      <c r="J60" s="6" t="n"/>
      <c r="K60" s="6" t="n"/>
      <c r="L60" s="6" t="n"/>
    </row>
    <row r="61">
      <c r="A61" s="6" t="n"/>
      <c r="B61" s="6" t="n"/>
      <c r="C61" s="16" t="n"/>
      <c r="D61" s="5" t="n"/>
      <c r="E61" s="6" t="n"/>
      <c r="F61" s="5" t="n"/>
      <c r="G61" s="6" t="n"/>
      <c r="H61" s="5" t="n"/>
      <c r="I61" s="6" t="n"/>
      <c r="J61" s="6" t="n"/>
      <c r="K61" s="6" t="n"/>
      <c r="L61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26" customWidth="1" min="3" max="3"/>
    <col width="44" customWidth="1" min="4" max="4"/>
    <col width="11" customWidth="1" min="5" max="5"/>
    <col width="12" customWidth="1" min="6" max="6"/>
    <col width="30" customWidth="1" min="7" max="7"/>
    <col width="20" customWidth="1" min="8" max="8"/>
  </cols>
  <sheetData>
    <row r="1" ht="32" customHeight="1">
      <c r="A1" s="4" t="inlineStr">
        <is>
          <t>Campaign</t>
        </is>
      </c>
      <c r="B1" s="4" t="inlineStr">
        <is>
          <t>Idea</t>
        </is>
      </c>
      <c r="C1" s="4" t="inlineStr">
        <is>
          <t>Main KPI</t>
        </is>
      </c>
      <c r="D1" s="4" t="inlineStr">
        <is>
          <t>Kill criterion (copy from campaigns.md)</t>
        </is>
      </c>
      <c r="E1" s="4" t="inlineStr">
        <is>
          <t>Start week</t>
        </is>
      </c>
      <c r="F1" s="4" t="inlineStr">
        <is>
          <t>Status</t>
        </is>
      </c>
      <c r="G1" s="4" t="inlineStr">
        <is>
          <t>Result so far</t>
        </is>
      </c>
      <c r="H1" s="4" t="inlineStr">
        <is>
          <t>Decision</t>
        </is>
      </c>
    </row>
    <row r="2">
      <c r="A2" s="7" t="inlineStr">
        <is>
          <t>Sight test</t>
        </is>
      </c>
      <c r="B2" s="7" t="inlineStr">
        <is>
          <t>Guess the portion from the menu line, then see it at true size</t>
        </is>
      </c>
      <c r="C2" s="7" t="inlineStr">
        <is>
          <t>Sends per 1k reach, comments</t>
        </is>
      </c>
      <c r="D2" s="6" t="n"/>
      <c r="E2" s="6" t="n"/>
      <c r="F2" s="6" t="n"/>
      <c r="G2" s="6" t="n"/>
      <c r="H2" s="6" t="n"/>
    </row>
    <row r="3">
      <c r="A3" s="7" t="inlineStr">
        <is>
          <t>Dish drop</t>
        </is>
      </c>
      <c r="B3" s="7" t="inlineStr">
        <is>
          <t>One real scan revealed each week, "this week on the table"</t>
        </is>
      </c>
      <c r="C3" s="7" t="inlineStr">
        <is>
          <t>Saves and comments per post</t>
        </is>
      </c>
      <c r="D3" s="6" t="n"/>
      <c r="E3" s="6" t="n"/>
      <c r="F3" s="6" t="n"/>
      <c r="G3" s="6" t="n"/>
      <c r="H3" s="6" t="n"/>
    </row>
    <row r="4">
      <c r="A4" s="7" t="inlineStr">
        <is>
          <t>Menu photos lie</t>
        </is>
      </c>
      <c r="B4" s="7" t="inlineStr">
        <is>
          <t>Expectation vs reality, done honestly with real scans only</t>
        </is>
      </c>
      <c r="C4" s="7" t="inlineStr">
        <is>
          <t>Sends per 1k reach</t>
        </is>
      </c>
      <c r="D4" s="6" t="n"/>
      <c r="E4" s="6" t="n"/>
      <c r="F4" s="6" t="n"/>
      <c r="G4" s="6" t="n"/>
      <c r="H4" s="6" t="n"/>
    </row>
    <row r="5">
      <c r="A5" s="7" t="inlineStr">
        <is>
          <t>Founding tables</t>
        </is>
      </c>
      <c r="B5" s="7" t="inlineStr">
        <is>
          <t>The first Lahore restaurants to put their menu on the table (B2B)</t>
        </is>
      </c>
      <c r="C5" s="7" t="inlineStr">
        <is>
          <t>"PILOT" DMs</t>
        </is>
      </c>
      <c r="D5" s="6" t="n"/>
      <c r="E5" s="6" t="n"/>
      <c r="F5" s="6" t="n"/>
      <c r="G5" s="6" t="n"/>
      <c r="H5" s="6" t="n"/>
    </row>
    <row r="6">
      <c r="A6" s="7" t="inlineStr">
        <is>
          <t>First reactions</t>
        </is>
      </c>
      <c r="B6" s="7" t="inlineStr">
        <is>
          <t>Real, consenting diners seeing their dish land in AR</t>
        </is>
      </c>
      <c r="C6" s="7" t="inlineStr">
        <is>
          <t>Sends per 1k reach</t>
        </is>
      </c>
      <c r="D6" s="6" t="n"/>
      <c r="E6" s="6" t="n"/>
      <c r="F6" s="6" t="n"/>
      <c r="G6" s="6" t="n"/>
      <c r="H6" s="6" t="n"/>
    </row>
    <row r="7">
      <c r="A7" s="7" t="inlineStr">
        <is>
          <t>No replay needed</t>
        </is>
      </c>
      <c r="B7" s="7" t="inlineStr">
        <is>
          <t>A pre-approved cricket morning-after card</t>
        </is>
      </c>
      <c r="C7" s="7" t="inlineStr">
        <is>
          <t>Reach, sends</t>
        </is>
      </c>
      <c r="D7" s="6" t="n"/>
      <c r="E7" s="6" t="n"/>
      <c r="F7" s="6" t="n"/>
      <c r="G7" s="6" t="n"/>
      <c r="H7" s="6" t="n"/>
    </row>
  </sheetData>
  <dataValidations count="1">
    <dataValidation sqref="F2:F7" showDropDown="0" showInputMessage="0" showErrorMessage="0" allowBlank="1" type="list">
      <formula1>"Not started,Running,Paused,Killed,Scaled"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2026-09-25T01:04:05Z</dcterms:created>
  <dcterms:modified xsi:type="dcterms:W3CDTF">2026-09-25T01:04:06Z</dcterms:modified>
</cp:coreProperties>
</file>